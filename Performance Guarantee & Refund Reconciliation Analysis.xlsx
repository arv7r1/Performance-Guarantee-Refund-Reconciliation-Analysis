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1b3453736f5b4/Desktop/Tesla_Energy_Project_2/excel/"/>
    </mc:Choice>
  </mc:AlternateContent>
  <xr:revisionPtr revIDLastSave="2" documentId="8_{5F6B205E-C8A4-4D2E-A871-0EE0B7C2F4DA}" xr6:coauthVersionLast="47" xr6:coauthVersionMax="47" xr10:uidLastSave="{9954D9BD-A9AC-4312-8139-FC6BB7737BE9}"/>
  <bookViews>
    <workbookView xWindow="-108" yWindow="-108" windowWidth="23256" windowHeight="13896" firstSheet="3" activeTab="5" xr2:uid="{798AEBE8-0901-45AD-8973-76B5598FBAA4}"/>
  </bookViews>
  <sheets>
    <sheet name="site" sheetId="1" r:id="rId1"/>
    <sheet name="period" sheetId="2" r:id="rId2"/>
    <sheet name="Actual_Production" sheetId="3" r:id="rId3"/>
    <sheet name="Guarantee_contract" sheetId="8" r:id="rId4"/>
    <sheet name="Guarantee_Evaluation" sheetId="10" r:id="rId5"/>
    <sheet name="Portfolio_Summary" sheetId="12" r:id="rId6"/>
  </sheets>
  <calcPr calcId="191029"/>
  <pivotCaches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0" l="1"/>
  <c r="H10" i="10"/>
  <c r="H11" i="10"/>
  <c r="H12" i="10"/>
  <c r="H22" i="10"/>
  <c r="H23" i="10"/>
  <c r="H25" i="10"/>
  <c r="H26" i="10"/>
  <c r="H27" i="10"/>
  <c r="H28" i="10"/>
  <c r="H38" i="10"/>
  <c r="H39" i="10"/>
  <c r="H41" i="10"/>
  <c r="H42" i="10"/>
  <c r="H43" i="10"/>
  <c r="H44" i="10"/>
  <c r="H54" i="10"/>
  <c r="H55" i="10"/>
  <c r="H57" i="10"/>
  <c r="H58" i="10"/>
  <c r="H59" i="10"/>
  <c r="H60" i="10"/>
  <c r="H70" i="10"/>
  <c r="H71" i="10"/>
  <c r="H73" i="10"/>
  <c r="H74" i="10"/>
  <c r="H75" i="10"/>
  <c r="H76" i="10"/>
  <c r="H86" i="10"/>
  <c r="H87" i="10"/>
  <c r="H89" i="10"/>
  <c r="H90" i="10"/>
  <c r="H91" i="10"/>
  <c r="H92" i="10"/>
  <c r="H102" i="10"/>
  <c r="H103" i="10"/>
  <c r="H105" i="10"/>
  <c r="H106" i="10"/>
  <c r="H107" i="10"/>
  <c r="H108" i="10"/>
  <c r="H118" i="10"/>
  <c r="H119" i="10"/>
  <c r="H121" i="10"/>
  <c r="H122" i="10"/>
  <c r="H123" i="10"/>
  <c r="H124" i="10"/>
  <c r="H134" i="10"/>
  <c r="H135" i="10"/>
  <c r="H137" i="10"/>
  <c r="H138" i="10"/>
  <c r="H139" i="10"/>
  <c r="H140" i="10"/>
  <c r="H150" i="10"/>
  <c r="H151" i="10"/>
  <c r="H153" i="10"/>
  <c r="H154" i="10"/>
  <c r="H155" i="10"/>
  <c r="H156" i="10"/>
  <c r="H166" i="10"/>
  <c r="H167" i="10"/>
  <c r="H169" i="10"/>
  <c r="H170" i="10"/>
  <c r="H171" i="10"/>
  <c r="H172" i="10"/>
  <c r="H2" i="10"/>
  <c r="F3" i="10"/>
  <c r="F6" i="10"/>
  <c r="F7" i="10"/>
  <c r="F16" i="10"/>
  <c r="F17" i="10"/>
  <c r="F18" i="10"/>
  <c r="F22" i="10"/>
  <c r="F23" i="10"/>
  <c r="F24" i="10"/>
  <c r="F32" i="10"/>
  <c r="F33" i="10"/>
  <c r="F34" i="10"/>
  <c r="F38" i="10"/>
  <c r="F39" i="10"/>
  <c r="F40" i="10"/>
  <c r="F48" i="10"/>
  <c r="F49" i="10"/>
  <c r="F50" i="10"/>
  <c r="F54" i="10"/>
  <c r="F55" i="10"/>
  <c r="F56" i="10"/>
  <c r="F64" i="10"/>
  <c r="F65" i="10"/>
  <c r="F66" i="10"/>
  <c r="F70" i="10"/>
  <c r="F71" i="10"/>
  <c r="F72" i="10"/>
  <c r="F80" i="10"/>
  <c r="F81" i="10"/>
  <c r="F82" i="10"/>
  <c r="F86" i="10"/>
  <c r="F87" i="10"/>
  <c r="F88" i="10"/>
  <c r="F96" i="10"/>
  <c r="F97" i="10"/>
  <c r="F98" i="10"/>
  <c r="F102" i="10"/>
  <c r="F103" i="10"/>
  <c r="F104" i="10"/>
  <c r="F112" i="10"/>
  <c r="F113" i="10"/>
  <c r="F114" i="10"/>
  <c r="F118" i="10"/>
  <c r="F119" i="10"/>
  <c r="F120" i="10"/>
  <c r="F128" i="10"/>
  <c r="F129" i="10"/>
  <c r="F130" i="10"/>
  <c r="F134" i="10"/>
  <c r="F135" i="10"/>
  <c r="F136" i="10"/>
  <c r="F144" i="10"/>
  <c r="F145" i="10"/>
  <c r="F146" i="10"/>
  <c r="F150" i="10"/>
  <c r="F151" i="10"/>
  <c r="F152" i="10"/>
  <c r="F160" i="10"/>
  <c r="F161" i="10"/>
  <c r="F162" i="10"/>
  <c r="F166" i="10"/>
  <c r="F167" i="10"/>
  <c r="F168" i="10"/>
  <c r="F176" i="10"/>
  <c r="F177" i="10"/>
  <c r="F178" i="10"/>
  <c r="F2" i="10"/>
  <c r="E3" i="10"/>
  <c r="H3" i="10" s="1"/>
  <c r="E4" i="10"/>
  <c r="H4" i="10" s="1"/>
  <c r="E5" i="10"/>
  <c r="H5" i="10" s="1"/>
  <c r="E6" i="10"/>
  <c r="H6" i="10" s="1"/>
  <c r="E7" i="10"/>
  <c r="H7" i="10" s="1"/>
  <c r="E8" i="10"/>
  <c r="H8" i="10" s="1"/>
  <c r="E9" i="10"/>
  <c r="F9" i="10" s="1"/>
  <c r="E10" i="10"/>
  <c r="F10" i="10" s="1"/>
  <c r="E11" i="10"/>
  <c r="F11" i="10" s="1"/>
  <c r="E12" i="10"/>
  <c r="F12" i="10" s="1"/>
  <c r="E13" i="10"/>
  <c r="H13" i="10" s="1"/>
  <c r="E14" i="10"/>
  <c r="H14" i="10" s="1"/>
  <c r="E15" i="10"/>
  <c r="F15" i="10" s="1"/>
  <c r="E16" i="10"/>
  <c r="H16" i="10" s="1"/>
  <c r="E17" i="10"/>
  <c r="H17" i="10" s="1"/>
  <c r="E18" i="10"/>
  <c r="H18" i="10" s="1"/>
  <c r="E19" i="10"/>
  <c r="H19" i="10" s="1"/>
  <c r="E20" i="10"/>
  <c r="H20" i="10" s="1"/>
  <c r="E21" i="10"/>
  <c r="H21" i="10" s="1"/>
  <c r="E22" i="10"/>
  <c r="E23" i="10"/>
  <c r="E24" i="10"/>
  <c r="H24" i="10" s="1"/>
  <c r="E25" i="10"/>
  <c r="F25" i="10" s="1"/>
  <c r="E26" i="10"/>
  <c r="F26" i="10" s="1"/>
  <c r="E27" i="10"/>
  <c r="F27" i="10" s="1"/>
  <c r="E28" i="10"/>
  <c r="F28" i="10" s="1"/>
  <c r="E29" i="10"/>
  <c r="H29" i="10" s="1"/>
  <c r="E30" i="10"/>
  <c r="H30" i="10" s="1"/>
  <c r="E31" i="10"/>
  <c r="H31" i="10" s="1"/>
  <c r="E32" i="10"/>
  <c r="H32" i="10" s="1"/>
  <c r="E33" i="10"/>
  <c r="H33" i="10" s="1"/>
  <c r="E34" i="10"/>
  <c r="H34" i="10" s="1"/>
  <c r="E35" i="10"/>
  <c r="F35" i="10" s="1"/>
  <c r="E36" i="10"/>
  <c r="H36" i="10" s="1"/>
  <c r="E37" i="10"/>
  <c r="H37" i="10" s="1"/>
  <c r="E38" i="10"/>
  <c r="E39" i="10"/>
  <c r="E40" i="10"/>
  <c r="H40" i="10" s="1"/>
  <c r="E41" i="10"/>
  <c r="F41" i="10" s="1"/>
  <c r="E42" i="10"/>
  <c r="F42" i="10" s="1"/>
  <c r="E43" i="10"/>
  <c r="F43" i="10" s="1"/>
  <c r="E44" i="10"/>
  <c r="F44" i="10" s="1"/>
  <c r="E45" i="10"/>
  <c r="H45" i="10" s="1"/>
  <c r="E46" i="10"/>
  <c r="H46" i="10" s="1"/>
  <c r="E47" i="10"/>
  <c r="H47" i="10" s="1"/>
  <c r="E48" i="10"/>
  <c r="H48" i="10" s="1"/>
  <c r="E49" i="10"/>
  <c r="H49" i="10" s="1"/>
  <c r="E50" i="10"/>
  <c r="H50" i="10" s="1"/>
  <c r="E51" i="10"/>
  <c r="H51" i="10" s="1"/>
  <c r="E52" i="10"/>
  <c r="H52" i="10" s="1"/>
  <c r="E53" i="10"/>
  <c r="H53" i="10" s="1"/>
  <c r="E54" i="10"/>
  <c r="E55" i="10"/>
  <c r="E56" i="10"/>
  <c r="H56" i="10" s="1"/>
  <c r="E57" i="10"/>
  <c r="F57" i="10" s="1"/>
  <c r="E58" i="10"/>
  <c r="F58" i="10" s="1"/>
  <c r="E59" i="10"/>
  <c r="F59" i="10" s="1"/>
  <c r="E60" i="10"/>
  <c r="F60" i="10" s="1"/>
  <c r="E61" i="10"/>
  <c r="H61" i="10" s="1"/>
  <c r="E62" i="10"/>
  <c r="H62" i="10" s="1"/>
  <c r="E63" i="10"/>
  <c r="H63" i="10" s="1"/>
  <c r="E64" i="10"/>
  <c r="H64" i="10" s="1"/>
  <c r="E65" i="10"/>
  <c r="H65" i="10" s="1"/>
  <c r="E66" i="10"/>
  <c r="H66" i="10" s="1"/>
  <c r="E67" i="10"/>
  <c r="F67" i="10" s="1"/>
  <c r="E68" i="10"/>
  <c r="H68" i="10" s="1"/>
  <c r="E69" i="10"/>
  <c r="H69" i="10" s="1"/>
  <c r="E70" i="10"/>
  <c r="E71" i="10"/>
  <c r="E72" i="10"/>
  <c r="H72" i="10" s="1"/>
  <c r="E73" i="10"/>
  <c r="F73" i="10" s="1"/>
  <c r="E74" i="10"/>
  <c r="F74" i="10" s="1"/>
  <c r="E75" i="10"/>
  <c r="F75" i="10" s="1"/>
  <c r="E76" i="10"/>
  <c r="F76" i="10" s="1"/>
  <c r="E77" i="10"/>
  <c r="H77" i="10" s="1"/>
  <c r="E78" i="10"/>
  <c r="H78" i="10" s="1"/>
  <c r="E79" i="10"/>
  <c r="H79" i="10" s="1"/>
  <c r="E80" i="10"/>
  <c r="H80" i="10" s="1"/>
  <c r="E81" i="10"/>
  <c r="H81" i="10" s="1"/>
  <c r="E82" i="10"/>
  <c r="H82" i="10" s="1"/>
  <c r="E83" i="10"/>
  <c r="H83" i="10" s="1"/>
  <c r="E84" i="10"/>
  <c r="H84" i="10" s="1"/>
  <c r="E85" i="10"/>
  <c r="H85" i="10" s="1"/>
  <c r="E86" i="10"/>
  <c r="E87" i="10"/>
  <c r="E88" i="10"/>
  <c r="H88" i="10" s="1"/>
  <c r="E89" i="10"/>
  <c r="F89" i="10" s="1"/>
  <c r="E90" i="10"/>
  <c r="F90" i="10" s="1"/>
  <c r="E91" i="10"/>
  <c r="F91" i="10" s="1"/>
  <c r="E92" i="10"/>
  <c r="F92" i="10" s="1"/>
  <c r="E93" i="10"/>
  <c r="H93" i="10" s="1"/>
  <c r="E94" i="10"/>
  <c r="H94" i="10" s="1"/>
  <c r="E95" i="10"/>
  <c r="F95" i="10" s="1"/>
  <c r="E96" i="10"/>
  <c r="H96" i="10" s="1"/>
  <c r="E97" i="10"/>
  <c r="H97" i="10" s="1"/>
  <c r="E98" i="10"/>
  <c r="H98" i="10" s="1"/>
  <c r="E99" i="10"/>
  <c r="H99" i="10" s="1"/>
  <c r="E100" i="10"/>
  <c r="H100" i="10" s="1"/>
  <c r="E101" i="10"/>
  <c r="H101" i="10" s="1"/>
  <c r="E102" i="10"/>
  <c r="E103" i="10"/>
  <c r="E104" i="10"/>
  <c r="H104" i="10" s="1"/>
  <c r="E105" i="10"/>
  <c r="F105" i="10" s="1"/>
  <c r="E106" i="10"/>
  <c r="F106" i="10" s="1"/>
  <c r="E107" i="10"/>
  <c r="F107" i="10" s="1"/>
  <c r="E108" i="10"/>
  <c r="F108" i="10" s="1"/>
  <c r="E109" i="10"/>
  <c r="H109" i="10" s="1"/>
  <c r="E110" i="10"/>
  <c r="H110" i="10" s="1"/>
  <c r="E111" i="10"/>
  <c r="H111" i="10" s="1"/>
  <c r="E112" i="10"/>
  <c r="H112" i="10" s="1"/>
  <c r="E113" i="10"/>
  <c r="H113" i="10" s="1"/>
  <c r="E114" i="10"/>
  <c r="H114" i="10" s="1"/>
  <c r="E115" i="10"/>
  <c r="F115" i="10" s="1"/>
  <c r="E116" i="10"/>
  <c r="H116" i="10" s="1"/>
  <c r="E117" i="10"/>
  <c r="H117" i="10" s="1"/>
  <c r="E118" i="10"/>
  <c r="E119" i="10"/>
  <c r="E120" i="10"/>
  <c r="H120" i="10" s="1"/>
  <c r="E121" i="10"/>
  <c r="F121" i="10" s="1"/>
  <c r="E122" i="10"/>
  <c r="F122" i="10" s="1"/>
  <c r="E123" i="10"/>
  <c r="F123" i="10" s="1"/>
  <c r="E124" i="10"/>
  <c r="F124" i="10" s="1"/>
  <c r="E125" i="10"/>
  <c r="H125" i="10" s="1"/>
  <c r="E126" i="10"/>
  <c r="H126" i="10" s="1"/>
  <c r="E127" i="10"/>
  <c r="H127" i="10" s="1"/>
  <c r="E128" i="10"/>
  <c r="H128" i="10" s="1"/>
  <c r="E129" i="10"/>
  <c r="H129" i="10" s="1"/>
  <c r="E130" i="10"/>
  <c r="H130" i="10" s="1"/>
  <c r="E131" i="10"/>
  <c r="H131" i="10" s="1"/>
  <c r="E132" i="10"/>
  <c r="H132" i="10" s="1"/>
  <c r="E133" i="10"/>
  <c r="H133" i="10" s="1"/>
  <c r="E134" i="10"/>
  <c r="E135" i="10"/>
  <c r="E136" i="10"/>
  <c r="H136" i="10" s="1"/>
  <c r="E137" i="10"/>
  <c r="F137" i="10" s="1"/>
  <c r="E138" i="10"/>
  <c r="F138" i="10" s="1"/>
  <c r="E139" i="10"/>
  <c r="F139" i="10" s="1"/>
  <c r="E140" i="10"/>
  <c r="F140" i="10" s="1"/>
  <c r="E141" i="10"/>
  <c r="H141" i="10" s="1"/>
  <c r="E142" i="10"/>
  <c r="H142" i="10" s="1"/>
  <c r="E143" i="10"/>
  <c r="F143" i="10" s="1"/>
  <c r="E144" i="10"/>
  <c r="H144" i="10" s="1"/>
  <c r="E145" i="10"/>
  <c r="H145" i="10" s="1"/>
  <c r="E146" i="10"/>
  <c r="H146" i="10" s="1"/>
  <c r="E147" i="10"/>
  <c r="F147" i="10" s="1"/>
  <c r="E148" i="10"/>
  <c r="H148" i="10" s="1"/>
  <c r="E149" i="10"/>
  <c r="H149" i="10" s="1"/>
  <c r="E150" i="10"/>
  <c r="E151" i="10"/>
  <c r="E152" i="10"/>
  <c r="H152" i="10" s="1"/>
  <c r="E153" i="10"/>
  <c r="F153" i="10" s="1"/>
  <c r="E154" i="10"/>
  <c r="F154" i="10" s="1"/>
  <c r="E155" i="10"/>
  <c r="F155" i="10" s="1"/>
  <c r="E156" i="10"/>
  <c r="F156" i="10" s="1"/>
  <c r="E157" i="10"/>
  <c r="H157" i="10" s="1"/>
  <c r="E158" i="10"/>
  <c r="H158" i="10" s="1"/>
  <c r="E159" i="10"/>
  <c r="H159" i="10" s="1"/>
  <c r="E160" i="10"/>
  <c r="H160" i="10" s="1"/>
  <c r="E161" i="10"/>
  <c r="H161" i="10" s="1"/>
  <c r="E162" i="10"/>
  <c r="H162" i="10" s="1"/>
  <c r="E163" i="10"/>
  <c r="H163" i="10" s="1"/>
  <c r="E164" i="10"/>
  <c r="H164" i="10" s="1"/>
  <c r="E165" i="10"/>
  <c r="H165" i="10" s="1"/>
  <c r="E166" i="10"/>
  <c r="E167" i="10"/>
  <c r="E168" i="10"/>
  <c r="H168" i="10" s="1"/>
  <c r="E169" i="10"/>
  <c r="F169" i="10" s="1"/>
  <c r="E170" i="10"/>
  <c r="F170" i="10" s="1"/>
  <c r="E171" i="10"/>
  <c r="F171" i="10" s="1"/>
  <c r="E172" i="10"/>
  <c r="F172" i="10" s="1"/>
  <c r="E173" i="10"/>
  <c r="H173" i="10" s="1"/>
  <c r="E174" i="10"/>
  <c r="H174" i="10" s="1"/>
  <c r="E175" i="10"/>
  <c r="H175" i="10" s="1"/>
  <c r="E176" i="10"/>
  <c r="H176" i="10" s="1"/>
  <c r="E177" i="10"/>
  <c r="H177" i="10" s="1"/>
  <c r="E178" i="10"/>
  <c r="H178" i="10" s="1"/>
  <c r="E179" i="10"/>
  <c r="F179" i="10" s="1"/>
  <c r="E180" i="10"/>
  <c r="H180" i="10" s="1"/>
  <c r="E181" i="10"/>
  <c r="H181" i="10" s="1"/>
  <c r="E2" i="10"/>
  <c r="F163" i="10" l="1"/>
  <c r="F99" i="10"/>
  <c r="F51" i="10"/>
  <c r="F175" i="10"/>
  <c r="F127" i="10"/>
  <c r="F79" i="10"/>
  <c r="F47" i="10"/>
  <c r="H179" i="10"/>
  <c r="H147" i="10"/>
  <c r="H67" i="10"/>
  <c r="H35" i="10"/>
  <c r="F174" i="10"/>
  <c r="F158" i="10"/>
  <c r="F142" i="10"/>
  <c r="F126" i="10"/>
  <c r="F110" i="10"/>
  <c r="F94" i="10"/>
  <c r="F78" i="10"/>
  <c r="F62" i="10"/>
  <c r="F46" i="10"/>
  <c r="F30" i="10"/>
  <c r="F14" i="10"/>
  <c r="F173" i="10"/>
  <c r="F157" i="10"/>
  <c r="F141" i="10"/>
  <c r="F125" i="10"/>
  <c r="F109" i="10"/>
  <c r="F93" i="10"/>
  <c r="F77" i="10"/>
  <c r="F61" i="10"/>
  <c r="F45" i="10"/>
  <c r="F29" i="10"/>
  <c r="F13" i="10"/>
  <c r="F8" i="10"/>
  <c r="F131" i="10"/>
  <c r="F83" i="10"/>
  <c r="F19" i="10"/>
  <c r="F159" i="10"/>
  <c r="F111" i="10"/>
  <c r="F63" i="10"/>
  <c r="F31" i="10"/>
  <c r="H115" i="10"/>
  <c r="H143" i="10"/>
  <c r="H95" i="10"/>
  <c r="H15" i="10"/>
  <c r="F181" i="10"/>
  <c r="F165" i="10"/>
  <c r="F149" i="10"/>
  <c r="F133" i="10"/>
  <c r="F117" i="10"/>
  <c r="F101" i="10"/>
  <c r="F85" i="10"/>
  <c r="F69" i="10"/>
  <c r="F53" i="10"/>
  <c r="F37" i="10"/>
  <c r="F21" i="10"/>
  <c r="F5" i="10"/>
  <c r="F180" i="10"/>
  <c r="F164" i="10"/>
  <c r="F148" i="10"/>
  <c r="F132" i="10"/>
  <c r="F116" i="10"/>
  <c r="F100" i="10"/>
  <c r="F84" i="10"/>
  <c r="F68" i="10"/>
  <c r="F52" i="10"/>
  <c r="F36" i="10"/>
  <c r="F20" i="10"/>
  <c r="F4" i="10"/>
</calcChain>
</file>

<file path=xl/sharedStrings.xml><?xml version="1.0" encoding="utf-8"?>
<sst xmlns="http://schemas.openxmlformats.org/spreadsheetml/2006/main" count="1550" uniqueCount="49">
  <si>
    <t>CA_FREMONT_01</t>
  </si>
  <si>
    <t>CA_FREMONT_02</t>
  </si>
  <si>
    <t>CA_FREMONT_03</t>
  </si>
  <si>
    <t>CA_SANJOSE_01</t>
  </si>
  <si>
    <t>CA_SANJOSE_02</t>
  </si>
  <si>
    <t>TX_AUSTIN_01</t>
  </si>
  <si>
    <t>TX_AUSTIN_02</t>
  </si>
  <si>
    <t>TX_DALLAS_01</t>
  </si>
  <si>
    <t>TX_DALLAS_02</t>
  </si>
  <si>
    <t>AZ_PHOENIX_01</t>
  </si>
  <si>
    <t>AZ_PHOENIX_02</t>
  </si>
  <si>
    <t>AZ_TUCSON_01</t>
  </si>
  <si>
    <t>NV_RENO_01</t>
  </si>
  <si>
    <t>NV_RENO_02</t>
  </si>
  <si>
    <t>NV_RENO_03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</si>
  <si>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</si>
  <si>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</si>
  <si>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</si>
  <si>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</si>
  <si>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</si>
  <si>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</si>
  <si>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</si>
  <si>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</si>
  <si>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</si>
  <si>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</si>
  <si>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</si>
  <si>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</si>
  <si>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Period</t>
  </si>
  <si>
    <t>Site_id</t>
  </si>
  <si>
    <t>actual_energy_kwh</t>
  </si>
  <si>
    <t>guaranteed_energy_kwh</t>
  </si>
  <si>
    <t>energy_rate_per_kwh</t>
  </si>
  <si>
    <t>guarantee_type</t>
  </si>
  <si>
    <t>Monthly</t>
  </si>
  <si>
    <t>shortfall_kwh</t>
  </si>
  <si>
    <t>breach_flag</t>
  </si>
  <si>
    <t>refund_amount_usd</t>
  </si>
  <si>
    <t>Column1</t>
  </si>
  <si>
    <t>Row Labels</t>
  </si>
  <si>
    <t>Grand Total</t>
  </si>
  <si>
    <t>Total_Refund_Exposure</t>
  </si>
  <si>
    <t>Total_Periods</t>
  </si>
  <si>
    <t>breach_count</t>
  </si>
  <si>
    <t>Avg_Energy_Shortfall_kWh</t>
  </si>
  <si>
    <t>region</t>
  </si>
  <si>
    <t>CA</t>
  </si>
  <si>
    <t>TX</t>
  </si>
  <si>
    <t>AZ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</si>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</sst>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Refund Exposure by Site (USD)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08574452145577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Portfolio_Summary!$B$22</c:f>
              <c:strCache>
                <c:ptCount val="1"/>
                <c:pt idx="0">
                  <c:v>Total_Refund_Exposure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Portfolio_Summary!$A$23:$A$37</c:f>
              <c:strCache>
                <c:ptCount val="15"/>
                <c:pt idx="0">
                  <c:v>TX_DALLAS_02</c:v>
                </c:pt>
                <c:pt idx="1">
                  <c:v>CA_SANJOSE_01</c:v>
                </c:pt>
                <c:pt idx="2">
                  <c:v>TX_AUSTIN_01</c:v>
                </c:pt>
                <c:pt idx="3">
                  <c:v>NV_RENO_02</c:v>
                </c:pt>
                <c:pt idx="4">
                  <c:v>CA_FREMONT_02</c:v>
                </c:pt>
                <c:pt idx="5">
                  <c:v>TX_DALLAS_01</c:v>
                </c:pt>
                <c:pt idx="6">
                  <c:v>AZ_TUCSON_01</c:v>
                </c:pt>
                <c:pt idx="7">
                  <c:v>TX_AUSTIN_02</c:v>
                </c:pt>
                <c:pt idx="8">
                  <c:v>NV_RENO_01</c:v>
                </c:pt>
                <c:pt idx="9">
                  <c:v>CA_FREMONT_01</c:v>
                </c:pt>
                <c:pt idx="10">
                  <c:v>AZ_PHOENIX_02</c:v>
                </c:pt>
                <c:pt idx="11">
                  <c:v>AZ_PHOENIX_01</c:v>
                </c:pt>
                <c:pt idx="12">
                  <c:v>CA_SANJOSE_02</c:v>
                </c:pt>
                <c:pt idx="13">
                  <c:v>CA_FREMONT_03</c:v>
                </c:pt>
                <c:pt idx="14">
                  <c:v>NV_RENO_03</c:v>
                </c:pt>
              </c:strCache>
            </c:strRef>
          </c:cat>
          <c:val>
            <c:numRef>
              <c:f>Portfolio_Summary!$B$23:$B$37</c:f>
              <c:numCache>
                <c:formatCode>General</c:formatCode>
                <c:ptCount val="15"/>
                <c:pt idx="0">
                  <c:v>104935.92899999999</c:v>
                </c:pt>
                <c:pt idx="1">
                  <c:v>71342.987999999998</c:v>
                </c:pt>
                <c:pt idx="2">
                  <c:v>55879.456000000013</c:v>
                </c:pt>
                <c:pt idx="3">
                  <c:v>52396.427000000003</c:v>
                </c:pt>
                <c:pt idx="4">
                  <c:v>49329.446999999993</c:v>
                </c:pt>
                <c:pt idx="5">
                  <c:v>49140.187000000005</c:v>
                </c:pt>
                <c:pt idx="6">
                  <c:v>48728.59</c:v>
                </c:pt>
                <c:pt idx="7">
                  <c:v>47366.544999999998</c:v>
                </c:pt>
                <c:pt idx="8">
                  <c:v>44788.895000000004</c:v>
                </c:pt>
                <c:pt idx="9">
                  <c:v>43898.379000000001</c:v>
                </c:pt>
                <c:pt idx="10">
                  <c:v>39340.723000000005</c:v>
                </c:pt>
                <c:pt idx="11">
                  <c:v>35018.311000000002</c:v>
                </c:pt>
                <c:pt idx="12">
                  <c:v>29044.284</c:v>
                </c:pt>
                <c:pt idx="13">
                  <c:v>15163.434999999999</c:v>
                </c:pt>
                <c:pt idx="14">
                  <c:v>11074.308000000001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6-451C-A13D-D40A1BF035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171744"/>
        <c:axId val="23172224"/>
      </c:barChart>
      <c:catAx>
        <c:axId val="231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2224"/>
        <c:crosses val="autoZero"/>
        <c:auto val="0"/>
        <c:lblAlgn val="ctr"/>
        <c:lblOffset val="100"/>
        <c:noMultiLvlLbl val="0"/>
      </c:catAx>
      <c:valAx>
        <c:axId val="231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Guarantee Breaches by Site (Count)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599965423483741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Portfolio_Summary!$E$22</c:f>
              <c:strCache>
                <c:ptCount val="1"/>
                <c:pt idx="0">
                  <c:v>breach_count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Portfolio_Summary!$D$23:$D$37</c:f>
              <c:strCache>
                <c:ptCount val="15"/>
                <c:pt idx="0">
                  <c:v>TX_DALLAS_02</c:v>
                </c:pt>
                <c:pt idx="1">
                  <c:v>CA_SANJOSE_01</c:v>
                </c:pt>
                <c:pt idx="2">
                  <c:v>TX_AUSTIN_01</c:v>
                </c:pt>
                <c:pt idx="3">
                  <c:v>NV_RENO_02</c:v>
                </c:pt>
                <c:pt idx="4">
                  <c:v>CA_FREMONT_02</c:v>
                </c:pt>
                <c:pt idx="5">
                  <c:v>TX_DALLAS_01</c:v>
                </c:pt>
                <c:pt idx="6">
                  <c:v>AZ_TUCSON_01</c:v>
                </c:pt>
                <c:pt idx="7">
                  <c:v>TX_AUSTIN_02</c:v>
                </c:pt>
                <c:pt idx="8">
                  <c:v>NV_RENO_01</c:v>
                </c:pt>
                <c:pt idx="9">
                  <c:v>CA_FREMONT_01</c:v>
                </c:pt>
                <c:pt idx="10">
                  <c:v>AZ_PHOENIX_02</c:v>
                </c:pt>
                <c:pt idx="11">
                  <c:v>AZ_PHOENIX_01</c:v>
                </c:pt>
                <c:pt idx="12">
                  <c:v>CA_SANJOSE_02</c:v>
                </c:pt>
                <c:pt idx="13">
                  <c:v>CA_FREMONT_03</c:v>
                </c:pt>
                <c:pt idx="14">
                  <c:v>NV_RENO_03</c:v>
                </c:pt>
              </c:strCache>
            </c:strRef>
          </c:cat>
          <c:val>
            <c:numRef>
              <c:f>Portfolio_Summary!$E$23:$E$37</c:f>
              <c:numCache>
                <c:formatCode>General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4-475F-B3A5-B86B54589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654624"/>
        <c:axId val="510315232"/>
      </c:barChart>
      <c:catAx>
        <c:axId val="43865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15232"/>
        <c:crosses val="autoZero"/>
        <c:auto val="1"/>
        <c:lblAlgn val="ctr"/>
        <c:lblOffset val="100"/>
        <c:noMultiLvlLbl val="0"/>
      </c:catAx>
      <c:valAx>
        <c:axId val="5103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5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Refund Exposure by Region (USD)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AZ</c:v>
              </c:pt>
              <c:pt idx="1">
                <c:v>CA</c:v>
              </c:pt>
              <c:pt idx="2">
                <c:v>NV</c:v>
              </c:pt>
              <c:pt idx="3">
                <c:v>TX</c:v>
              </c:pt>
            </c:strLit>
          </c:cat>
          <c:val>
            <c:numLit>
              <c:formatCode>General</c:formatCode>
              <c:ptCount val="4"/>
              <c:pt idx="0">
                <c:v>127675.72400000002</c:v>
              </c:pt>
              <c:pt idx="1">
                <c:v>208778.53300000002</c:v>
              </c:pt>
              <c:pt idx="2">
                <c:v>103671.52999999998</c:v>
              </c:pt>
              <c:pt idx="3">
                <c:v>257322.11700000003</c:v>
              </c:pt>
            </c:numLit>
          </c:val>
          <c:extLst>
            <c:ext xmlns:c16="http://schemas.microsoft.com/office/drawing/2014/chart" uri="{C3380CC4-5D6E-409C-BE32-E72D297353CC}">
              <c16:uniqueId val="{00000000-52CC-4381-AB1E-681EB9FA8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703536"/>
        <c:axId val="400704016"/>
      </c:barChart>
      <c:catAx>
        <c:axId val="4007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04016"/>
        <c:crosses val="autoZero"/>
        <c:auto val="1"/>
        <c:lblAlgn val="ctr"/>
        <c:lblOffset val="100"/>
        <c:noMultiLvlLbl val="0"/>
      </c:catAx>
      <c:valAx>
        <c:axId val="4007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838200</xdr:colOff>
      <xdr:row>2</xdr:row>
      <xdr:rowOff>19050</xdr:rowOff>
    </xdr:from>
    <xdr:to>
      <xdr:col>14</xdr:col>
      <xdr:colOff>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EC497-1B49-4C59-7A76-2BF0E484A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274320</xdr:colOff>
      <xdr:row>33</xdr:row>
      <xdr:rowOff>41910</xdr:rowOff>
    </xdr:from>
    <xdr:to>
      <xdr:col>13</xdr:col>
      <xdr:colOff>998220</xdr:colOff>
      <xdr:row>48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30454-A86C-88EA-94FF-114C33F70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609600</xdr:colOff>
      <xdr:row>17</xdr:row>
      <xdr:rowOff>137160</xdr:rowOff>
    </xdr:from>
    <xdr:to>
      <xdr:col>14</xdr:col>
      <xdr:colOff>525780</xdr:colOff>
      <xdr:row>32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F27B57-9650-4509-B599-4842EE4CB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 Ravi" refreshedDate="46062.637957638886" createdVersion="8" refreshedVersion="8" minRefreshableVersion="3" recordCount="180" xr:uid="{9E08D96E-C1C8-4C67-B54E-0FCCCD487F92}">
  <cacheSource type="worksheet">
    <worksheetSource name="Table1"/>
  </cacheSource>
  <cacheFields count="9">
    <cacheField name="Site_id" numFmtId="0">
      <sharedItems count="15">
        <s v="CA_FREMONT_01"/>
        <s v="CA_FREMONT_02"/>
        <s v="CA_FREMONT_03"/>
        <s v="CA_SANJOSE_01"/>
        <s v="CA_SANJOSE_02"/>
        <s v="TX_AUSTIN_01"/>
        <s v="TX_AUSTIN_02"/>
        <s v="TX_DALLAS_01"/>
        <s v="TX_DALLAS_02"/>
        <s v="AZ_PHOENIX_01"/>
        <s v="AZ_PHOENIX_02"/>
        <s v="AZ_TUCSON_01"/>
        <s v="NV_RENO_01"/>
        <s v="NV_RENO_02"/>
        <s v="NV_RENO_03"/>
      </sharedItems>
    </cacheField>
    <cacheField name="Period" numFmtId="0">
      <sharedItems/>
    </cacheField>
    <cacheField name="actual_energy_kwh" numFmtId="0">
      <sharedItems containsSemiMixedTypes="0" containsString="0" containsNumber="1" containsInteger="1" minValue="80474" maxValue="448663"/>
    </cacheField>
    <cacheField name="guaranteed_energy_kwh" numFmtId="0">
      <sharedItems containsSemiMixedTypes="0" containsString="0" containsNumber="1" containsInteger="1" minValue="80395" maxValue="448512"/>
    </cacheField>
    <cacheField name="shortfall_kwh" numFmtId="0">
      <sharedItems containsSemiMixedTypes="0" containsString="0" containsNumber="1" containsInteger="1" minValue="0" maxValue="335988"/>
    </cacheField>
    <cacheField name="breach_flag" numFmtId="0">
      <sharedItems/>
    </cacheField>
    <cacheField name="energy_rate_per_kwh" numFmtId="0">
      <sharedItems containsSemiMixedTypes="0" containsString="0" containsNumber="1" minValue="4.4999999999999998E-2" maxValue="7.4999999999999997E-2"/>
    </cacheField>
    <cacheField name="refund_amount_usd" numFmtId="0">
      <sharedItems containsSemiMixedTypes="0" containsString="0" containsNumber="1" minValue="0" maxValue="18682.160000000003"/>
    </cacheField>
    <cacheField name="region" numFmtId="0">
      <sharedItems count="4">
        <s v="CA"/>
        <s v="TX"/>
        <s v="AZ"/>
        <s v="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s v="2024-01"/>
    <n v="315757"/>
    <n v="259375"/>
    <n v="0"/>
    <s v="COMPLIANT"/>
    <n v="4.7E-2"/>
    <n v="0"/>
    <x v="0"/>
  </r>
  <r>
    <x v="0"/>
    <s v="2024-02"/>
    <n v="397030"/>
    <n v="300602"/>
    <n v="0"/>
    <s v="COMPLIANT"/>
    <n v="0.05"/>
    <n v="0"/>
    <x v="0"/>
  </r>
  <r>
    <x v="0"/>
    <s v="2024-03"/>
    <n v="235787"/>
    <n v="127560"/>
    <n v="0"/>
    <s v="COMPLIANT"/>
    <n v="5.6000000000000001E-2"/>
    <n v="0"/>
    <x v="0"/>
  </r>
  <r>
    <x v="0"/>
    <s v="2024-04"/>
    <n v="155094"/>
    <n v="397252"/>
    <n v="242158"/>
    <s v="BREACH"/>
    <n v="5.5E-2"/>
    <n v="13318.69"/>
    <x v="0"/>
  </r>
  <r>
    <x v="0"/>
    <s v="2024-05"/>
    <n v="448663"/>
    <n v="168695"/>
    <n v="0"/>
    <s v="COMPLIANT"/>
    <n v="5.3999999999999999E-2"/>
    <n v="0"/>
    <x v="0"/>
  </r>
  <r>
    <x v="0"/>
    <s v="2024-06"/>
    <n v="415920"/>
    <n v="211350"/>
    <n v="0"/>
    <s v="COMPLIANT"/>
    <n v="7.3999999999999996E-2"/>
    <n v="0"/>
    <x v="0"/>
  </r>
  <r>
    <x v="0"/>
    <s v="2024-07"/>
    <n v="250402"/>
    <n v="171534"/>
    <n v="0"/>
    <s v="COMPLIANT"/>
    <n v="6.3E-2"/>
    <n v="0"/>
    <x v="0"/>
  </r>
  <r>
    <x v="0"/>
    <s v="2024-08"/>
    <n v="317265"/>
    <n v="151702"/>
    <n v="0"/>
    <s v="COMPLIANT"/>
    <n v="6.8000000000000005E-2"/>
    <n v="0"/>
    <x v="0"/>
  </r>
  <r>
    <x v="0"/>
    <s v="2024-09"/>
    <n v="311547"/>
    <n v="354207"/>
    <n v="42660"/>
    <s v="BREACH"/>
    <n v="4.8000000000000001E-2"/>
    <n v="2047.68"/>
    <x v="0"/>
  </r>
  <r>
    <x v="0"/>
    <s v="2024-10"/>
    <n v="140424"/>
    <n v="330317"/>
    <n v="189893"/>
    <s v="BREACH"/>
    <n v="7.2999999999999995E-2"/>
    <n v="13862.188999999998"/>
    <x v="0"/>
  </r>
  <r>
    <x v="0"/>
    <s v="2024-11"/>
    <n v="137588"/>
    <n v="404312"/>
    <n v="266724"/>
    <s v="BREACH"/>
    <n v="5.5E-2"/>
    <n v="14669.82"/>
    <x v="0"/>
  </r>
  <r>
    <x v="0"/>
    <s v="2024-12"/>
    <n v="355541"/>
    <n v="156566"/>
    <n v="0"/>
    <s v="COMPLIANT"/>
    <n v="7.4999999999999997E-2"/>
    <n v="0"/>
    <x v="0"/>
  </r>
  <r>
    <x v="1"/>
    <s v="2024-01"/>
    <n v="258365"/>
    <n v="423447"/>
    <n v="165082"/>
    <s v="BREACH"/>
    <n v="5.8999999999999997E-2"/>
    <n v="9739.8379999999997"/>
    <x v="0"/>
  </r>
  <r>
    <x v="1"/>
    <s v="2024-02"/>
    <n v="211567"/>
    <n v="365962"/>
    <n v="154395"/>
    <s v="BREACH"/>
    <n v="7.1999999999999995E-2"/>
    <n v="11116.439999999999"/>
    <x v="0"/>
  </r>
  <r>
    <x v="1"/>
    <s v="2024-03"/>
    <n v="111943"/>
    <n v="185857"/>
    <n v="73914"/>
    <s v="BREACH"/>
    <n v="4.5999999999999999E-2"/>
    <n v="3400.0439999999999"/>
    <x v="0"/>
  </r>
  <r>
    <x v="1"/>
    <s v="2024-04"/>
    <n v="343316"/>
    <n v="308437"/>
    <n v="0"/>
    <s v="COMPLIANT"/>
    <n v="7.1999999999999995E-2"/>
    <n v="0"/>
    <x v="0"/>
  </r>
  <r>
    <x v="1"/>
    <s v="2024-05"/>
    <n v="161391"/>
    <n v="199746"/>
    <n v="38355"/>
    <s v="BREACH"/>
    <n v="7.0000000000000007E-2"/>
    <n v="2684.8500000000004"/>
    <x v="0"/>
  </r>
  <r>
    <x v="1"/>
    <s v="2024-06"/>
    <n v="126187"/>
    <n v="409834"/>
    <n v="283647"/>
    <s v="BREACH"/>
    <n v="6.3E-2"/>
    <n v="17869.760999999999"/>
    <x v="0"/>
  </r>
  <r>
    <x v="1"/>
    <s v="2024-07"/>
    <n v="273723"/>
    <n v="147433"/>
    <n v="0"/>
    <s v="COMPLIANT"/>
    <n v="5.2999999999999999E-2"/>
    <n v="0"/>
    <x v="0"/>
  </r>
  <r>
    <x v="1"/>
    <s v="2024-08"/>
    <n v="305587"/>
    <n v="349356"/>
    <n v="43769"/>
    <s v="BREACH"/>
    <n v="0.05"/>
    <n v="2188.4500000000003"/>
    <x v="0"/>
  </r>
  <r>
    <x v="1"/>
    <s v="2024-09"/>
    <n v="243064"/>
    <n v="117336"/>
    <n v="0"/>
    <s v="COMPLIANT"/>
    <n v="7.2999999999999995E-2"/>
    <n v="0"/>
    <x v="0"/>
  </r>
  <r>
    <x v="1"/>
    <s v="2024-10"/>
    <n v="371729"/>
    <n v="102942"/>
    <n v="0"/>
    <s v="COMPLIANT"/>
    <n v="5.0999999999999997E-2"/>
    <n v="0"/>
    <x v="0"/>
  </r>
  <r>
    <x v="1"/>
    <s v="2024-11"/>
    <n v="250710"/>
    <n v="245348"/>
    <n v="0"/>
    <s v="COMPLIANT"/>
    <n v="5.6000000000000001E-2"/>
    <n v="0"/>
    <x v="0"/>
  </r>
  <r>
    <x v="1"/>
    <s v="2024-12"/>
    <n v="329345"/>
    <n v="377888"/>
    <n v="48543"/>
    <s v="BREACH"/>
    <n v="4.8000000000000001E-2"/>
    <n v="2330.0639999999999"/>
    <x v="0"/>
  </r>
  <r>
    <x v="2"/>
    <s v="2024-01"/>
    <n v="172095"/>
    <n v="115003"/>
    <n v="0"/>
    <s v="COMPLIANT"/>
    <n v="6.3E-2"/>
    <n v="0"/>
    <x v="0"/>
  </r>
  <r>
    <x v="2"/>
    <s v="2024-02"/>
    <n v="311738"/>
    <n v="111798"/>
    <n v="0"/>
    <s v="COMPLIANT"/>
    <n v="6.2E-2"/>
    <n v="0"/>
    <x v="0"/>
  </r>
  <r>
    <x v="2"/>
    <s v="2024-03"/>
    <n v="291786"/>
    <n v="284975"/>
    <n v="0"/>
    <s v="COMPLIANT"/>
    <n v="7.0000000000000007E-2"/>
    <n v="0"/>
    <x v="0"/>
  </r>
  <r>
    <x v="2"/>
    <s v="2024-04"/>
    <n v="140390"/>
    <n v="151657"/>
    <n v="11267"/>
    <s v="BREACH"/>
    <n v="7.4999999999999997E-2"/>
    <n v="845.02499999999998"/>
    <x v="0"/>
  </r>
  <r>
    <x v="2"/>
    <s v="2024-05"/>
    <n v="361330"/>
    <n v="438100"/>
    <n v="76770"/>
    <s v="BREACH"/>
    <n v="4.4999999999999998E-2"/>
    <n v="3454.65"/>
    <x v="0"/>
  </r>
  <r>
    <x v="2"/>
    <s v="2024-06"/>
    <n v="200471"/>
    <n v="352043"/>
    <n v="151572"/>
    <s v="BREACH"/>
    <n v="5.3999999999999999E-2"/>
    <n v="8184.8879999999999"/>
    <x v="0"/>
  </r>
  <r>
    <x v="2"/>
    <s v="2024-07"/>
    <n v="263667"/>
    <n v="188075"/>
    <n v="0"/>
    <s v="COMPLIANT"/>
    <n v="5.3999999999999999E-2"/>
    <n v="0"/>
    <x v="0"/>
  </r>
  <r>
    <x v="2"/>
    <s v="2024-08"/>
    <n v="391715"/>
    <n v="326193"/>
    <n v="0"/>
    <s v="COMPLIANT"/>
    <n v="7.0000000000000007E-2"/>
    <n v="0"/>
    <x v="0"/>
  </r>
  <r>
    <x v="2"/>
    <s v="2024-09"/>
    <n v="252011"/>
    <n v="92748"/>
    <n v="0"/>
    <s v="COMPLIANT"/>
    <n v="6.3E-2"/>
    <n v="0"/>
    <x v="0"/>
  </r>
  <r>
    <x v="2"/>
    <s v="2024-10"/>
    <n v="283500"/>
    <n v="300736"/>
    <n v="17236"/>
    <s v="BREACH"/>
    <n v="6.2E-2"/>
    <n v="1068.6320000000001"/>
    <x v="0"/>
  </r>
  <r>
    <x v="2"/>
    <s v="2024-11"/>
    <n v="339076"/>
    <n v="326999"/>
    <n v="0"/>
    <s v="COMPLIANT"/>
    <n v="6.0999999999999999E-2"/>
    <n v="0"/>
    <x v="0"/>
  </r>
  <r>
    <x v="2"/>
    <s v="2024-12"/>
    <n v="392173"/>
    <n v="413933"/>
    <n v="21760"/>
    <s v="BREACH"/>
    <n v="7.3999999999999996E-2"/>
    <n v="1610.24"/>
    <x v="0"/>
  </r>
  <r>
    <x v="3"/>
    <s v="2024-01"/>
    <n v="378433"/>
    <n v="279066"/>
    <n v="0"/>
    <s v="COMPLIANT"/>
    <n v="7.0000000000000007E-2"/>
    <n v="0"/>
    <x v="0"/>
  </r>
  <r>
    <x v="3"/>
    <s v="2024-02"/>
    <n v="80474"/>
    <n v="416462"/>
    <n v="335988"/>
    <s v="BREACH"/>
    <n v="4.5999999999999999E-2"/>
    <n v="15455.448"/>
    <x v="0"/>
  </r>
  <r>
    <x v="3"/>
    <s v="2024-03"/>
    <n v="254439"/>
    <n v="398338"/>
    <n v="143899"/>
    <s v="BREACH"/>
    <n v="7.0000000000000007E-2"/>
    <n v="10072.93"/>
    <x v="0"/>
  </r>
  <r>
    <x v="3"/>
    <s v="2024-04"/>
    <n v="122212"/>
    <n v="323279"/>
    <n v="201067"/>
    <s v="BREACH"/>
    <n v="6.0999999999999999E-2"/>
    <n v="12265.087"/>
    <x v="0"/>
  </r>
  <r>
    <x v="3"/>
    <s v="2024-05"/>
    <n v="320958"/>
    <n v="432365"/>
    <n v="111407"/>
    <s v="BREACH"/>
    <n v="7.0999999999999994E-2"/>
    <n v="7909.896999999999"/>
    <x v="0"/>
  </r>
  <r>
    <x v="3"/>
    <s v="2024-06"/>
    <n v="336651"/>
    <n v="408076"/>
    <n v="71425"/>
    <s v="BREACH"/>
    <n v="7.3999999999999996E-2"/>
    <n v="5285.45"/>
    <x v="0"/>
  </r>
  <r>
    <x v="3"/>
    <s v="2024-07"/>
    <n v="278219"/>
    <n v="382333"/>
    <n v="104114"/>
    <s v="BREACH"/>
    <n v="0.05"/>
    <n v="5205.7000000000007"/>
    <x v="0"/>
  </r>
  <r>
    <x v="3"/>
    <s v="2024-08"/>
    <n v="374529"/>
    <n v="335725"/>
    <n v="0"/>
    <s v="COMPLIANT"/>
    <n v="6.5000000000000002E-2"/>
    <n v="0"/>
    <x v="0"/>
  </r>
  <r>
    <x v="3"/>
    <s v="2024-09"/>
    <n v="230903"/>
    <n v="409931"/>
    <n v="179028"/>
    <s v="BREACH"/>
    <n v="7.0000000000000007E-2"/>
    <n v="12531.960000000001"/>
    <x v="0"/>
  </r>
  <r>
    <x v="3"/>
    <s v="2024-10"/>
    <n v="110135"/>
    <n v="89618"/>
    <n v="0"/>
    <s v="COMPLIANT"/>
    <n v="6.2E-2"/>
    <n v="0"/>
    <x v="0"/>
  </r>
  <r>
    <x v="3"/>
    <s v="2024-11"/>
    <n v="137144"/>
    <n v="87602"/>
    <n v="0"/>
    <s v="COMPLIANT"/>
    <n v="0.05"/>
    <n v="0"/>
    <x v="0"/>
  </r>
  <r>
    <x v="3"/>
    <s v="2024-12"/>
    <n v="130551"/>
    <n v="172083"/>
    <n v="41532"/>
    <s v="BREACH"/>
    <n v="6.3E-2"/>
    <n v="2616.5160000000001"/>
    <x v="0"/>
  </r>
  <r>
    <x v="4"/>
    <s v="2024-01"/>
    <n v="310981"/>
    <n v="140015"/>
    <n v="0"/>
    <s v="COMPLIANT"/>
    <n v="4.5999999999999999E-2"/>
    <n v="0"/>
    <x v="0"/>
  </r>
  <r>
    <x v="4"/>
    <s v="2024-02"/>
    <n v="141828"/>
    <n v="331776"/>
    <n v="189948"/>
    <s v="BREACH"/>
    <n v="6.3E-2"/>
    <n v="11966.724"/>
    <x v="0"/>
  </r>
  <r>
    <x v="4"/>
    <s v="2024-03"/>
    <n v="144633"/>
    <n v="184262"/>
    <n v="39629"/>
    <s v="BREACH"/>
    <n v="5.1999999999999998E-2"/>
    <n v="2060.7080000000001"/>
    <x v="0"/>
  </r>
  <r>
    <x v="4"/>
    <s v="2024-04"/>
    <n v="166267"/>
    <n v="156962"/>
    <n v="0"/>
    <s v="COMPLIANT"/>
    <n v="7.4999999999999997E-2"/>
    <n v="0"/>
    <x v="0"/>
  </r>
  <r>
    <x v="4"/>
    <s v="2024-05"/>
    <n v="293931"/>
    <n v="181490"/>
    <n v="0"/>
    <s v="COMPLIANT"/>
    <n v="4.9000000000000002E-2"/>
    <n v="0"/>
    <x v="0"/>
  </r>
  <r>
    <x v="4"/>
    <s v="2024-06"/>
    <n v="329678"/>
    <n v="331037"/>
    <n v="1359"/>
    <s v="BREACH"/>
    <n v="7.0000000000000007E-2"/>
    <n v="95.13000000000001"/>
    <x v="0"/>
  </r>
  <r>
    <x v="4"/>
    <s v="2024-07"/>
    <n v="175395"/>
    <n v="207633"/>
    <n v="32238"/>
    <s v="BREACH"/>
    <n v="5.2999999999999999E-2"/>
    <n v="1708.614"/>
    <x v="0"/>
  </r>
  <r>
    <x v="4"/>
    <s v="2024-08"/>
    <n v="310575"/>
    <n v="384121"/>
    <n v="73546"/>
    <s v="BREACH"/>
    <n v="7.2999999999999995E-2"/>
    <n v="5368.8579999999993"/>
    <x v="0"/>
  </r>
  <r>
    <x v="4"/>
    <s v="2024-09"/>
    <n v="191349"/>
    <n v="308521"/>
    <n v="117172"/>
    <s v="BREACH"/>
    <n v="5.6000000000000001E-2"/>
    <n v="6561.6320000000005"/>
    <x v="0"/>
  </r>
  <r>
    <x v="4"/>
    <s v="2024-10"/>
    <n v="229452"/>
    <n v="257335"/>
    <n v="27883"/>
    <s v="BREACH"/>
    <n v="4.5999999999999999E-2"/>
    <n v="1282.6179999999999"/>
    <x v="0"/>
  </r>
  <r>
    <x v="4"/>
    <s v="2024-11"/>
    <n v="403397"/>
    <n v="106709"/>
    <n v="0"/>
    <s v="COMPLIANT"/>
    <n v="4.7E-2"/>
    <n v="0"/>
    <x v="0"/>
  </r>
  <r>
    <x v="4"/>
    <s v="2024-12"/>
    <n v="276582"/>
    <n v="233915"/>
    <n v="0"/>
    <s v="COMPLIANT"/>
    <n v="7.3999999999999996E-2"/>
    <n v="0"/>
    <x v="0"/>
  </r>
  <r>
    <x v="5"/>
    <s v="2024-01"/>
    <n v="156497"/>
    <n v="346238"/>
    <n v="189741"/>
    <s v="BREACH"/>
    <n v="5.8000000000000003E-2"/>
    <n v="11004.978000000001"/>
    <x v="1"/>
  </r>
  <r>
    <x v="5"/>
    <s v="2024-02"/>
    <n v="424590"/>
    <n v="158213"/>
    <n v="0"/>
    <s v="COMPLIANT"/>
    <n v="5.7000000000000002E-2"/>
    <n v="0"/>
    <x v="1"/>
  </r>
  <r>
    <x v="5"/>
    <s v="2024-03"/>
    <n v="301752"/>
    <n v="222749"/>
    <n v="0"/>
    <s v="COMPLIANT"/>
    <n v="6.7000000000000004E-2"/>
    <n v="0"/>
    <x v="1"/>
  </r>
  <r>
    <x v="5"/>
    <s v="2024-04"/>
    <n v="308140"/>
    <n v="209576"/>
    <n v="0"/>
    <s v="COMPLIANT"/>
    <n v="4.9000000000000002E-2"/>
    <n v="0"/>
    <x v="1"/>
  </r>
  <r>
    <x v="5"/>
    <s v="2024-05"/>
    <n v="135183"/>
    <n v="194219"/>
    <n v="59036"/>
    <s v="BREACH"/>
    <n v="6.0999999999999999E-2"/>
    <n v="3601.1959999999999"/>
    <x v="1"/>
  </r>
  <r>
    <x v="5"/>
    <s v="2024-06"/>
    <n v="367630"/>
    <n v="380534"/>
    <n v="12904"/>
    <s v="BREACH"/>
    <n v="6.2E-2"/>
    <n v="800.048"/>
    <x v="1"/>
  </r>
  <r>
    <x v="5"/>
    <s v="2024-07"/>
    <n v="277660"/>
    <n v="188413"/>
    <n v="0"/>
    <s v="COMPLIANT"/>
    <n v="4.5999999999999999E-2"/>
    <n v="0"/>
    <x v="1"/>
  </r>
  <r>
    <x v="5"/>
    <s v="2024-08"/>
    <n v="408799"/>
    <n v="379964"/>
    <n v="0"/>
    <s v="COMPLIANT"/>
    <n v="5.1999999999999998E-2"/>
    <n v="0"/>
    <x v="1"/>
  </r>
  <r>
    <x v="5"/>
    <s v="2024-09"/>
    <n v="87312"/>
    <n v="354200"/>
    <n v="266888"/>
    <s v="BREACH"/>
    <n v="7.0000000000000007E-2"/>
    <n v="18682.160000000003"/>
    <x v="1"/>
  </r>
  <r>
    <x v="5"/>
    <s v="2024-10"/>
    <n v="121601"/>
    <n v="269189"/>
    <n v="147588"/>
    <s v="BREACH"/>
    <n v="5.5E-2"/>
    <n v="8117.34"/>
    <x v="1"/>
  </r>
  <r>
    <x v="5"/>
    <s v="2024-11"/>
    <n v="252448"/>
    <n v="382449"/>
    <n v="130001"/>
    <s v="BREACH"/>
    <n v="7.3999999999999996E-2"/>
    <n v="9620.0739999999987"/>
    <x v="1"/>
  </r>
  <r>
    <x v="5"/>
    <s v="2024-12"/>
    <n v="215427"/>
    <n v="277791"/>
    <n v="62364"/>
    <s v="BREACH"/>
    <n v="6.5000000000000002E-2"/>
    <n v="4053.6600000000003"/>
    <x v="1"/>
  </r>
  <r>
    <x v="6"/>
    <s v="2024-01"/>
    <n v="299621"/>
    <n v="256174"/>
    <n v="0"/>
    <s v="COMPLIANT"/>
    <n v="0.06"/>
    <n v="0"/>
    <x v="1"/>
  </r>
  <r>
    <x v="6"/>
    <s v="2024-02"/>
    <n v="445299"/>
    <n v="293636"/>
    <n v="0"/>
    <s v="COMPLIANT"/>
    <n v="5.7000000000000002E-2"/>
    <n v="0"/>
    <x v="1"/>
  </r>
  <r>
    <x v="6"/>
    <s v="2024-03"/>
    <n v="222869"/>
    <n v="264721"/>
    <n v="41852"/>
    <s v="BREACH"/>
    <n v="7.0999999999999994E-2"/>
    <n v="2971.4919999999997"/>
    <x v="1"/>
  </r>
  <r>
    <x v="6"/>
    <s v="2024-04"/>
    <n v="329281"/>
    <n v="82276"/>
    <n v="0"/>
    <s v="COMPLIANT"/>
    <n v="7.1999999999999995E-2"/>
    <n v="0"/>
    <x v="1"/>
  </r>
  <r>
    <x v="6"/>
    <s v="2024-05"/>
    <n v="260645"/>
    <n v="208382"/>
    <n v="0"/>
    <s v="COMPLIANT"/>
    <n v="6.9000000000000006E-2"/>
    <n v="0"/>
    <x v="1"/>
  </r>
  <r>
    <x v="6"/>
    <s v="2024-06"/>
    <n v="96510"/>
    <n v="412337"/>
    <n v="315827"/>
    <s v="BREACH"/>
    <n v="4.5999999999999999E-2"/>
    <n v="14528.041999999999"/>
    <x v="1"/>
  </r>
  <r>
    <x v="6"/>
    <s v="2024-07"/>
    <n v="184838"/>
    <n v="359172"/>
    <n v="174334"/>
    <s v="BREACH"/>
    <n v="7.0000000000000007E-2"/>
    <n v="12203.380000000001"/>
    <x v="1"/>
  </r>
  <r>
    <x v="6"/>
    <s v="2024-08"/>
    <n v="106857"/>
    <n v="133104"/>
    <n v="26247"/>
    <s v="BREACH"/>
    <n v="0.05"/>
    <n v="1312.3500000000001"/>
    <x v="1"/>
  </r>
  <r>
    <x v="6"/>
    <s v="2024-09"/>
    <n v="321875"/>
    <n v="245330"/>
    <n v="0"/>
    <s v="COMPLIANT"/>
    <n v="6.4000000000000001E-2"/>
    <n v="0"/>
    <x v="1"/>
  </r>
  <r>
    <x v="6"/>
    <s v="2024-10"/>
    <n v="215337"/>
    <n v="216516"/>
    <n v="1179"/>
    <s v="BREACH"/>
    <n v="5.8999999999999997E-2"/>
    <n v="69.560999999999993"/>
    <x v="1"/>
  </r>
  <r>
    <x v="6"/>
    <s v="2024-11"/>
    <n v="101255"/>
    <n v="349755"/>
    <n v="248500"/>
    <s v="BREACH"/>
    <n v="5.6000000000000001E-2"/>
    <n v="13916"/>
    <x v="1"/>
  </r>
  <r>
    <x v="6"/>
    <s v="2024-12"/>
    <n v="331467"/>
    <n v="373712"/>
    <n v="42245"/>
    <s v="BREACH"/>
    <n v="5.6000000000000001E-2"/>
    <n v="2365.7200000000003"/>
    <x v="1"/>
  </r>
  <r>
    <x v="7"/>
    <s v="2024-01"/>
    <n v="441475"/>
    <n v="312943"/>
    <n v="0"/>
    <s v="COMPLIANT"/>
    <n v="6.8000000000000005E-2"/>
    <n v="0"/>
    <x v="1"/>
  </r>
  <r>
    <x v="7"/>
    <s v="2024-02"/>
    <n v="86637"/>
    <n v="320104"/>
    <n v="233467"/>
    <s v="BREACH"/>
    <n v="5.7000000000000002E-2"/>
    <n v="13307.619000000001"/>
    <x v="1"/>
  </r>
  <r>
    <x v="7"/>
    <s v="2024-03"/>
    <n v="370569"/>
    <n v="115115"/>
    <n v="0"/>
    <s v="COMPLIANT"/>
    <n v="7.0000000000000007E-2"/>
    <n v="0"/>
    <x v="1"/>
  </r>
  <r>
    <x v="7"/>
    <s v="2024-04"/>
    <n v="237914"/>
    <n v="82224"/>
    <n v="0"/>
    <s v="COMPLIANT"/>
    <n v="4.5999999999999999E-2"/>
    <n v="0"/>
    <x v="1"/>
  </r>
  <r>
    <x v="7"/>
    <s v="2024-05"/>
    <n v="153326"/>
    <n v="144465"/>
    <n v="0"/>
    <s v="COMPLIANT"/>
    <n v="6.9000000000000006E-2"/>
    <n v="0"/>
    <x v="1"/>
  </r>
  <r>
    <x v="7"/>
    <s v="2024-06"/>
    <n v="291453"/>
    <n v="394293"/>
    <n v="102840"/>
    <s v="BREACH"/>
    <n v="6.2E-2"/>
    <n v="6376.08"/>
    <x v="1"/>
  </r>
  <r>
    <x v="7"/>
    <s v="2024-07"/>
    <n v="336416"/>
    <n v="279730"/>
    <n v="0"/>
    <s v="COMPLIANT"/>
    <n v="6.0999999999999999E-2"/>
    <n v="0"/>
    <x v="1"/>
  </r>
  <r>
    <x v="7"/>
    <s v="2024-08"/>
    <n v="102661"/>
    <n v="336182"/>
    <n v="233521"/>
    <s v="BREACH"/>
    <n v="7.4999999999999997E-2"/>
    <n v="17514.075000000001"/>
    <x v="1"/>
  </r>
  <r>
    <x v="7"/>
    <s v="2024-09"/>
    <n v="121176"/>
    <n v="157681"/>
    <n v="36505"/>
    <s v="BREACH"/>
    <n v="5.3999999999999999E-2"/>
    <n v="1971.27"/>
    <x v="1"/>
  </r>
  <r>
    <x v="7"/>
    <s v="2024-10"/>
    <n v="312716"/>
    <n v="111276"/>
    <n v="0"/>
    <s v="COMPLIANT"/>
    <n v="0.05"/>
    <n v="0"/>
    <x v="1"/>
  </r>
  <r>
    <x v="7"/>
    <s v="2024-11"/>
    <n v="257161"/>
    <n v="207832"/>
    <n v="0"/>
    <s v="COMPLIANT"/>
    <n v="5.7000000000000002E-2"/>
    <n v="0"/>
    <x v="1"/>
  </r>
  <r>
    <x v="7"/>
    <s v="2024-12"/>
    <n v="277456"/>
    <n v="414047"/>
    <n v="136591"/>
    <s v="BREACH"/>
    <n v="7.2999999999999995E-2"/>
    <n v="9971.143"/>
    <x v="1"/>
  </r>
  <r>
    <x v="8"/>
    <s v="2024-01"/>
    <n v="81185"/>
    <n v="206880"/>
    <n v="125695"/>
    <s v="BREACH"/>
    <n v="7.4999999999999997E-2"/>
    <n v="9427.125"/>
    <x v="1"/>
  </r>
  <r>
    <x v="8"/>
    <s v="2024-02"/>
    <n v="341102"/>
    <n v="136486"/>
    <n v="0"/>
    <s v="COMPLIANT"/>
    <n v="7.2999999999999995E-2"/>
    <n v="0"/>
    <x v="1"/>
  </r>
  <r>
    <x v="8"/>
    <s v="2024-03"/>
    <n v="121075"/>
    <n v="251680"/>
    <n v="130605"/>
    <s v="BREACH"/>
    <n v="6.0999999999999999E-2"/>
    <n v="7966.9049999999997"/>
    <x v="1"/>
  </r>
  <r>
    <x v="8"/>
    <s v="2024-04"/>
    <n v="202454"/>
    <n v="219195"/>
    <n v="16741"/>
    <s v="BREACH"/>
    <n v="5.5E-2"/>
    <n v="920.755"/>
    <x v="1"/>
  </r>
  <r>
    <x v="8"/>
    <s v="2024-05"/>
    <n v="146388"/>
    <n v="333286"/>
    <n v="186898"/>
    <s v="BREACH"/>
    <n v="7.3999999999999996E-2"/>
    <n v="13830.451999999999"/>
    <x v="1"/>
  </r>
  <r>
    <x v="8"/>
    <s v="2024-06"/>
    <n v="97720"/>
    <n v="124267"/>
    <n v="26547"/>
    <s v="BREACH"/>
    <n v="7.0000000000000007E-2"/>
    <n v="1858.2900000000002"/>
    <x v="1"/>
  </r>
  <r>
    <x v="8"/>
    <s v="2024-07"/>
    <n v="149696"/>
    <n v="281899"/>
    <n v="132203"/>
    <s v="BREACH"/>
    <n v="7.0999999999999994E-2"/>
    <n v="9386.4129999999986"/>
    <x v="1"/>
  </r>
  <r>
    <x v="8"/>
    <s v="2024-08"/>
    <n v="182888"/>
    <n v="427452"/>
    <n v="244564"/>
    <s v="BREACH"/>
    <n v="7.3999999999999996E-2"/>
    <n v="18097.736000000001"/>
    <x v="1"/>
  </r>
  <r>
    <x v="8"/>
    <s v="2024-09"/>
    <n v="213898"/>
    <n v="428660"/>
    <n v="214762"/>
    <s v="BREACH"/>
    <n v="6.3E-2"/>
    <n v="13530.005999999999"/>
    <x v="1"/>
  </r>
  <r>
    <x v="8"/>
    <s v="2024-10"/>
    <n v="343984"/>
    <n v="393131"/>
    <n v="49147"/>
    <s v="BREACH"/>
    <n v="7.3999999999999996E-2"/>
    <n v="3636.8779999999997"/>
    <x v="1"/>
  </r>
  <r>
    <x v="8"/>
    <s v="2024-11"/>
    <n v="132500"/>
    <n v="312219"/>
    <n v="179719"/>
    <s v="BREACH"/>
    <n v="7.2999999999999995E-2"/>
    <n v="13119.486999999999"/>
    <x v="1"/>
  </r>
  <r>
    <x v="8"/>
    <s v="2024-12"/>
    <n v="166989"/>
    <n v="393918"/>
    <n v="226929"/>
    <s v="BREACH"/>
    <n v="5.8000000000000003E-2"/>
    <n v="13161.882000000001"/>
    <x v="1"/>
  </r>
  <r>
    <x v="9"/>
    <s v="2024-01"/>
    <n v="97732"/>
    <n v="193793"/>
    <n v="96061"/>
    <s v="BREACH"/>
    <n v="7.3999999999999996E-2"/>
    <n v="7108.5139999999992"/>
    <x v="2"/>
  </r>
  <r>
    <x v="9"/>
    <s v="2024-02"/>
    <n v="386748"/>
    <n v="364274"/>
    <n v="0"/>
    <s v="COMPLIANT"/>
    <n v="7.1999999999999995E-2"/>
    <n v="0"/>
    <x v="2"/>
  </r>
  <r>
    <x v="9"/>
    <s v="2024-03"/>
    <n v="345310"/>
    <n v="407130"/>
    <n v="61820"/>
    <s v="BREACH"/>
    <n v="4.9000000000000002E-2"/>
    <n v="3029.1800000000003"/>
    <x v="2"/>
  </r>
  <r>
    <x v="9"/>
    <s v="2024-04"/>
    <n v="434709"/>
    <n v="216103"/>
    <n v="0"/>
    <s v="COMPLIANT"/>
    <n v="4.8000000000000001E-2"/>
    <n v="0"/>
    <x v="2"/>
  </r>
  <r>
    <x v="9"/>
    <s v="2024-05"/>
    <n v="268069"/>
    <n v="251834"/>
    <n v="0"/>
    <s v="COMPLIANT"/>
    <n v="6.3E-2"/>
    <n v="0"/>
    <x v="2"/>
  </r>
  <r>
    <x v="9"/>
    <s v="2024-06"/>
    <n v="235614"/>
    <n v="339071"/>
    <n v="103457"/>
    <s v="BREACH"/>
    <n v="6.7000000000000004E-2"/>
    <n v="6931.6190000000006"/>
    <x v="2"/>
  </r>
  <r>
    <x v="9"/>
    <s v="2024-07"/>
    <n v="245717"/>
    <n v="160168"/>
    <n v="0"/>
    <s v="COMPLIANT"/>
    <n v="4.4999999999999998E-2"/>
    <n v="0"/>
    <x v="2"/>
  </r>
  <r>
    <x v="9"/>
    <s v="2024-08"/>
    <n v="94507"/>
    <n v="80395"/>
    <n v="0"/>
    <s v="COMPLIANT"/>
    <n v="6.9000000000000006E-2"/>
    <n v="0"/>
    <x v="2"/>
  </r>
  <r>
    <x v="9"/>
    <s v="2024-09"/>
    <n v="189734"/>
    <n v="281543"/>
    <n v="91809"/>
    <s v="BREACH"/>
    <n v="5.3999999999999999E-2"/>
    <n v="4957.6859999999997"/>
    <x v="2"/>
  </r>
  <r>
    <x v="9"/>
    <s v="2024-10"/>
    <n v="347109"/>
    <n v="316930"/>
    <n v="0"/>
    <s v="COMPLIANT"/>
    <n v="6.9000000000000006E-2"/>
    <n v="0"/>
    <x v="2"/>
  </r>
  <r>
    <x v="9"/>
    <s v="2024-11"/>
    <n v="117257"/>
    <n v="231927"/>
    <n v="114670"/>
    <s v="BREACH"/>
    <n v="6.4000000000000001E-2"/>
    <n v="7338.88"/>
    <x v="2"/>
  </r>
  <r>
    <x v="9"/>
    <s v="2024-12"/>
    <n v="172347"/>
    <n v="290106"/>
    <n v="117759"/>
    <s v="BREACH"/>
    <n v="4.8000000000000001E-2"/>
    <n v="5652.4319999999998"/>
    <x v="2"/>
  </r>
  <r>
    <x v="10"/>
    <s v="2024-01"/>
    <n v="266985"/>
    <n v="447361"/>
    <n v="180376"/>
    <s v="BREACH"/>
    <n v="5.6000000000000001E-2"/>
    <n v="10101.056"/>
    <x v="2"/>
  </r>
  <r>
    <x v="10"/>
    <s v="2024-02"/>
    <n v="402878"/>
    <n v="281413"/>
    <n v="0"/>
    <s v="COMPLIANT"/>
    <n v="5.0999999999999997E-2"/>
    <n v="0"/>
    <x v="2"/>
  </r>
  <r>
    <x v="10"/>
    <s v="2024-03"/>
    <n v="419484"/>
    <n v="291833"/>
    <n v="0"/>
    <s v="COMPLIANT"/>
    <n v="6.8000000000000005E-2"/>
    <n v="0"/>
    <x v="2"/>
  </r>
  <r>
    <x v="10"/>
    <s v="2024-04"/>
    <n v="258956"/>
    <n v="303053"/>
    <n v="44097"/>
    <s v="BREACH"/>
    <n v="5.6000000000000001E-2"/>
    <n v="2469.4320000000002"/>
    <x v="2"/>
  </r>
  <r>
    <x v="10"/>
    <s v="2024-05"/>
    <n v="139290"/>
    <n v="254545"/>
    <n v="115255"/>
    <s v="BREACH"/>
    <n v="4.7E-2"/>
    <n v="5416.9849999999997"/>
    <x v="2"/>
  </r>
  <r>
    <x v="10"/>
    <s v="2024-06"/>
    <n v="233399"/>
    <n v="216210"/>
    <n v="0"/>
    <s v="COMPLIANT"/>
    <n v="5.5E-2"/>
    <n v="0"/>
    <x v="2"/>
  </r>
  <r>
    <x v="10"/>
    <s v="2024-07"/>
    <n v="306471"/>
    <n v="448512"/>
    <n v="142041"/>
    <s v="BREACH"/>
    <n v="6.3E-2"/>
    <n v="8948.5830000000005"/>
    <x v="2"/>
  </r>
  <r>
    <x v="10"/>
    <s v="2024-08"/>
    <n v="219960"/>
    <n v="273147"/>
    <n v="53187"/>
    <s v="BREACH"/>
    <n v="5.5E-2"/>
    <n v="2925.2849999999999"/>
    <x v="2"/>
  </r>
  <r>
    <x v="10"/>
    <s v="2024-09"/>
    <n v="320262"/>
    <n v="233777"/>
    <n v="0"/>
    <s v="COMPLIANT"/>
    <n v="0.06"/>
    <n v="0"/>
    <x v="2"/>
  </r>
  <r>
    <x v="10"/>
    <s v="2024-10"/>
    <n v="414765"/>
    <n v="84404"/>
    <n v="0"/>
    <s v="COMPLIANT"/>
    <n v="6.2E-2"/>
    <n v="0"/>
    <x v="2"/>
  </r>
  <r>
    <x v="10"/>
    <s v="2024-11"/>
    <n v="142373"/>
    <n v="286000"/>
    <n v="143627"/>
    <s v="BREACH"/>
    <n v="6.6000000000000003E-2"/>
    <n v="9479.3819999999996"/>
    <x v="2"/>
  </r>
  <r>
    <x v="10"/>
    <s v="2024-12"/>
    <n v="392288"/>
    <n v="311641"/>
    <n v="0"/>
    <s v="COMPLIANT"/>
    <n v="6.2E-2"/>
    <n v="0"/>
    <x v="2"/>
  </r>
  <r>
    <x v="11"/>
    <s v="2024-01"/>
    <n v="405055"/>
    <n v="127176"/>
    <n v="0"/>
    <s v="COMPLIANT"/>
    <n v="6.5000000000000002E-2"/>
    <n v="0"/>
    <x v="2"/>
  </r>
  <r>
    <x v="11"/>
    <s v="2024-02"/>
    <n v="224957"/>
    <n v="351952"/>
    <n v="126995"/>
    <s v="BREACH"/>
    <n v="0.05"/>
    <n v="6349.75"/>
    <x v="2"/>
  </r>
  <r>
    <x v="11"/>
    <s v="2024-03"/>
    <n v="295515"/>
    <n v="413265"/>
    <n v="117750"/>
    <s v="BREACH"/>
    <n v="5.0999999999999997E-2"/>
    <n v="6005.25"/>
    <x v="2"/>
  </r>
  <r>
    <x v="11"/>
    <s v="2024-04"/>
    <n v="433233"/>
    <n v="292735"/>
    <n v="0"/>
    <s v="COMPLIANT"/>
    <n v="5.3999999999999999E-2"/>
    <n v="0"/>
    <x v="2"/>
  </r>
  <r>
    <x v="11"/>
    <s v="2024-05"/>
    <n v="137530"/>
    <n v="296878"/>
    <n v="159348"/>
    <s v="BREACH"/>
    <n v="7.4999999999999997E-2"/>
    <n v="11951.1"/>
    <x v="2"/>
  </r>
  <r>
    <x v="11"/>
    <s v="2024-06"/>
    <n v="238375"/>
    <n v="230092"/>
    <n v="0"/>
    <s v="COMPLIANT"/>
    <n v="6.8000000000000005E-2"/>
    <n v="0"/>
    <x v="2"/>
  </r>
  <r>
    <x v="11"/>
    <s v="2024-07"/>
    <n v="115041"/>
    <n v="234903"/>
    <n v="119862"/>
    <s v="BREACH"/>
    <n v="6.9000000000000006E-2"/>
    <n v="8270.478000000001"/>
    <x v="2"/>
  </r>
  <r>
    <x v="11"/>
    <s v="2024-08"/>
    <n v="190502"/>
    <n v="133079"/>
    <n v="0"/>
    <s v="COMPLIANT"/>
    <n v="7.0999999999999994E-2"/>
    <n v="0"/>
    <x v="2"/>
  </r>
  <r>
    <x v="11"/>
    <s v="2024-09"/>
    <n v="127586"/>
    <n v="319285"/>
    <n v="191699"/>
    <s v="BREACH"/>
    <n v="6.6000000000000003E-2"/>
    <n v="12652.134"/>
    <x v="2"/>
  </r>
  <r>
    <x v="11"/>
    <s v="2024-10"/>
    <n v="405997"/>
    <n v="260349"/>
    <n v="0"/>
    <s v="COMPLIANT"/>
    <n v="7.4999999999999997E-2"/>
    <n v="0"/>
    <x v="2"/>
  </r>
  <r>
    <x v="11"/>
    <s v="2024-11"/>
    <n v="135440"/>
    <n v="155315"/>
    <n v="19875"/>
    <s v="BREACH"/>
    <n v="7.1999999999999995E-2"/>
    <n v="1431"/>
    <x v="2"/>
  </r>
  <r>
    <x v="11"/>
    <s v="2024-12"/>
    <n v="410043"/>
    <n v="443412"/>
    <n v="33369"/>
    <s v="BREACH"/>
    <n v="6.2E-2"/>
    <n v="2068.8780000000002"/>
    <x v="2"/>
  </r>
  <r>
    <x v="12"/>
    <s v="2024-01"/>
    <n v="172673"/>
    <n v="98156"/>
    <n v="0"/>
    <s v="COMPLIANT"/>
    <n v="5.8000000000000003E-2"/>
    <n v="0"/>
    <x v="2"/>
  </r>
  <r>
    <x v="12"/>
    <s v="2024-02"/>
    <n v="221345"/>
    <n v="304765"/>
    <n v="83420"/>
    <s v="BREACH"/>
    <n v="5.5E-2"/>
    <n v="4588.1000000000004"/>
    <x v="2"/>
  </r>
  <r>
    <x v="12"/>
    <s v="2024-03"/>
    <n v="366552"/>
    <n v="447093"/>
    <n v="80541"/>
    <s v="BREACH"/>
    <n v="5.1999999999999998E-2"/>
    <n v="4188.1319999999996"/>
    <x v="3"/>
  </r>
  <r>
    <x v="12"/>
    <s v="2024-04"/>
    <n v="395538"/>
    <n v="119149"/>
    <n v="0"/>
    <s v="COMPLIANT"/>
    <n v="7.3999999999999996E-2"/>
    <n v="0"/>
    <x v="3"/>
  </r>
  <r>
    <x v="12"/>
    <s v="2024-05"/>
    <n v="100676"/>
    <n v="397247"/>
    <n v="296571"/>
    <s v="BREACH"/>
    <n v="5.2999999999999999E-2"/>
    <n v="15718.262999999999"/>
    <x v="3"/>
  </r>
  <r>
    <x v="12"/>
    <s v="2024-06"/>
    <n v="228716"/>
    <n v="261560"/>
    <n v="32844"/>
    <s v="BREACH"/>
    <n v="5.6000000000000001E-2"/>
    <n v="1839.2640000000001"/>
    <x v="3"/>
  </r>
  <r>
    <x v="12"/>
    <s v="2024-07"/>
    <n v="395172"/>
    <n v="346399"/>
    <n v="0"/>
    <s v="COMPLIANT"/>
    <n v="7.1999999999999995E-2"/>
    <n v="0"/>
    <x v="3"/>
  </r>
  <r>
    <x v="12"/>
    <s v="2024-08"/>
    <n v="236675"/>
    <n v="378615"/>
    <n v="141940"/>
    <s v="BREACH"/>
    <n v="0.06"/>
    <n v="8516.4"/>
    <x v="3"/>
  </r>
  <r>
    <x v="12"/>
    <s v="2024-09"/>
    <n v="291405"/>
    <n v="115912"/>
    <n v="0"/>
    <s v="COMPLIANT"/>
    <n v="5.7000000000000002E-2"/>
    <n v="0"/>
    <x v="3"/>
  </r>
  <r>
    <x v="12"/>
    <s v="2024-10"/>
    <n v="315821"/>
    <n v="437024"/>
    <n v="121203"/>
    <s v="BREACH"/>
    <n v="7.1999999999999995E-2"/>
    <n v="8726.616"/>
    <x v="3"/>
  </r>
  <r>
    <x v="12"/>
    <s v="2024-11"/>
    <n v="247098"/>
    <n v="268743"/>
    <n v="21645"/>
    <s v="BREACH"/>
    <n v="5.6000000000000001E-2"/>
    <n v="1212.1200000000001"/>
    <x v="3"/>
  </r>
  <r>
    <x v="12"/>
    <s v="2024-12"/>
    <n v="307127"/>
    <n v="142498"/>
    <n v="0"/>
    <s v="COMPLIANT"/>
    <n v="5.8000000000000003E-2"/>
    <n v="0"/>
    <x v="3"/>
  </r>
  <r>
    <x v="13"/>
    <s v="2024-01"/>
    <n v="374217"/>
    <n v="92046"/>
    <n v="0"/>
    <s v="COMPLIANT"/>
    <n v="6.7000000000000004E-2"/>
    <n v="0"/>
    <x v="3"/>
  </r>
  <r>
    <x v="13"/>
    <s v="2024-02"/>
    <n v="380686"/>
    <n v="305268"/>
    <n v="0"/>
    <s v="COMPLIANT"/>
    <n v="7.1999999999999995E-2"/>
    <n v="0"/>
    <x v="3"/>
  </r>
  <r>
    <x v="13"/>
    <s v="2024-03"/>
    <n v="400867"/>
    <n v="354104"/>
    <n v="0"/>
    <s v="COMPLIANT"/>
    <n v="6.3E-2"/>
    <n v="0"/>
    <x v="3"/>
  </r>
  <r>
    <x v="13"/>
    <s v="2024-04"/>
    <n v="149088"/>
    <n v="403892"/>
    <n v="254804"/>
    <s v="BREACH"/>
    <n v="4.9000000000000002E-2"/>
    <n v="12485.396000000001"/>
    <x v="3"/>
  </r>
  <r>
    <x v="13"/>
    <s v="2024-05"/>
    <n v="428474"/>
    <n v="391037"/>
    <n v="0"/>
    <s v="COMPLIANT"/>
    <n v="5.5E-2"/>
    <n v="0"/>
    <x v="3"/>
  </r>
  <r>
    <x v="13"/>
    <s v="2024-06"/>
    <n v="200587"/>
    <n v="315801"/>
    <n v="115214"/>
    <s v="BREACH"/>
    <n v="5.1999999999999998E-2"/>
    <n v="5991.1279999999997"/>
    <x v="3"/>
  </r>
  <r>
    <x v="13"/>
    <s v="2024-07"/>
    <n v="219746"/>
    <n v="390374"/>
    <n v="170628"/>
    <s v="BREACH"/>
    <n v="7.4999999999999997E-2"/>
    <n v="12797.1"/>
    <x v="3"/>
  </r>
  <r>
    <x v="13"/>
    <s v="2024-08"/>
    <n v="446638"/>
    <n v="231823"/>
    <n v="0"/>
    <s v="COMPLIANT"/>
    <n v="4.4999999999999998E-2"/>
    <n v="0"/>
    <x v="3"/>
  </r>
  <r>
    <x v="13"/>
    <s v="2024-09"/>
    <n v="182828"/>
    <n v="442084"/>
    <n v="259256"/>
    <s v="BREACH"/>
    <n v="0.06"/>
    <n v="15555.359999999999"/>
    <x v="3"/>
  </r>
  <r>
    <x v="13"/>
    <s v="2024-10"/>
    <n v="294780"/>
    <n v="296099"/>
    <n v="1319"/>
    <s v="BREACH"/>
    <n v="4.9000000000000002E-2"/>
    <n v="64.631"/>
    <x v="3"/>
  </r>
  <r>
    <x v="13"/>
    <s v="2024-11"/>
    <n v="445567"/>
    <n v="272433"/>
    <n v="0"/>
    <s v="COMPLIANT"/>
    <n v="6.0999999999999999E-2"/>
    <n v="0"/>
    <x v="3"/>
  </r>
  <r>
    <x v="13"/>
    <s v="2024-12"/>
    <n v="347731"/>
    <n v="440999"/>
    <n v="93268"/>
    <s v="BREACH"/>
    <n v="5.8999999999999997E-2"/>
    <n v="5502.8119999999999"/>
    <x v="3"/>
  </r>
  <r>
    <x v="14"/>
    <s v="2024-01"/>
    <n v="218460"/>
    <n v="119100"/>
    <n v="0"/>
    <s v="COMPLIANT"/>
    <n v="5.8999999999999997E-2"/>
    <n v="0"/>
    <x v="3"/>
  </r>
  <r>
    <x v="14"/>
    <s v="2024-02"/>
    <n v="438266"/>
    <n v="160118"/>
    <n v="0"/>
    <s v="COMPLIANT"/>
    <n v="6.9000000000000006E-2"/>
    <n v="0"/>
    <x v="3"/>
  </r>
  <r>
    <x v="14"/>
    <s v="2024-03"/>
    <n v="242035"/>
    <n v="211696"/>
    <n v="0"/>
    <s v="COMPLIANT"/>
    <n v="4.5999999999999999E-2"/>
    <n v="0"/>
    <x v="3"/>
  </r>
  <r>
    <x v="14"/>
    <s v="2024-04"/>
    <n v="307314"/>
    <n v="141067"/>
    <n v="0"/>
    <s v="COMPLIANT"/>
    <n v="5.2999999999999999E-2"/>
    <n v="0"/>
    <x v="3"/>
  </r>
  <r>
    <x v="14"/>
    <s v="2024-05"/>
    <n v="358031"/>
    <n v="191031"/>
    <n v="0"/>
    <s v="COMPLIANT"/>
    <n v="5.5E-2"/>
    <n v="0"/>
    <x v="3"/>
  </r>
  <r>
    <x v="14"/>
    <s v="2024-06"/>
    <n v="248449"/>
    <n v="327793"/>
    <n v="79344"/>
    <s v="BREACH"/>
    <n v="5.5E-2"/>
    <n v="4363.92"/>
    <x v="3"/>
  </r>
  <r>
    <x v="14"/>
    <s v="2024-07"/>
    <n v="389842"/>
    <n v="367518"/>
    <n v="0"/>
    <s v="COMPLIANT"/>
    <n v="6.2E-2"/>
    <n v="0"/>
    <x v="3"/>
  </r>
  <r>
    <x v="14"/>
    <s v="2024-08"/>
    <n v="371124"/>
    <n v="228175"/>
    <n v="0"/>
    <s v="COMPLIANT"/>
    <n v="4.8000000000000001E-2"/>
    <n v="0"/>
    <x v="3"/>
  </r>
  <r>
    <x v="14"/>
    <s v="2024-09"/>
    <n v="321550"/>
    <n v="329154"/>
    <n v="7604"/>
    <s v="BREACH"/>
    <n v="6.7000000000000004E-2"/>
    <n v="509.46800000000002"/>
    <x v="3"/>
  </r>
  <r>
    <x v="14"/>
    <s v="2024-10"/>
    <n v="356771"/>
    <n v="173572"/>
    <n v="0"/>
    <s v="COMPLIANT"/>
    <n v="5.2999999999999999E-2"/>
    <n v="0"/>
    <x v="3"/>
  </r>
  <r>
    <x v="14"/>
    <s v="2024-11"/>
    <n v="184296"/>
    <n v="297040"/>
    <n v="112744"/>
    <s v="BREACH"/>
    <n v="5.5E-2"/>
    <n v="6200.92"/>
    <x v="3"/>
  </r>
  <r>
    <x v="14"/>
    <s v="2024-12"/>
    <n v="417509"/>
    <n v="349821"/>
    <n v="0"/>
    <s v="COMPLIANT"/>
    <n v="7.0000000000000007E-2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CC3EC-4B17-4103-AFC0-63AF1521934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9:C4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_Refund_Exposure" fld="7" baseField="8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56AE1-078A-474E-B011-61F0085BA4F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9" firstHeaderRow="0" firstDataRow="1" firstDataCol="1"/>
  <pivotFields count="9">
    <pivotField axis="axisRow" showAll="0" sortType="descending">
      <items count="16">
        <item x="8"/>
        <item x="7"/>
        <item x="6"/>
        <item x="5"/>
        <item x="14"/>
        <item x="13"/>
        <item x="12"/>
        <item x="4"/>
        <item x="3"/>
        <item x="2"/>
        <item x="1"/>
        <item x="0"/>
        <item x="11"/>
        <item x="1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</pivotFields>
  <rowFields count="1">
    <field x="0"/>
  </rowFields>
  <rowItems count="16">
    <i>
      <x/>
    </i>
    <i>
      <x v="8"/>
    </i>
    <i>
      <x v="3"/>
    </i>
    <i>
      <x v="5"/>
    </i>
    <i>
      <x v="10"/>
    </i>
    <i>
      <x v="1"/>
    </i>
    <i>
      <x v="12"/>
    </i>
    <i>
      <x v="2"/>
    </i>
    <i>
      <x v="6"/>
    </i>
    <i>
      <x v="11"/>
    </i>
    <i>
      <x v="13"/>
    </i>
    <i>
      <x v="14"/>
    </i>
    <i>
      <x v="7"/>
    </i>
    <i>
      <x v="9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_Refund_Exposure" fld="7" baseField="0" baseItem="0"/>
    <dataField name="Total_Periods" fld="5" subtotal="count" baseField="0" baseItem="0"/>
    <dataField name="breach_count" fld="5" subtotal="count" baseField="0" baseItem="0"/>
    <dataField name="Avg_Energy_Shortfall_kWh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62AC6A-F3DB-4C07-9664-3EEF627B39A9}" name="Table5" displayName="Table5" ref="A1:A17" totalsRowShown="0">
  <autoFilter ref="A1:A17" xr:uid="{4162AC6A-F3DB-4C07-9664-3EEF627B39A9}"/>
  <tableColumns count="1">
    <tableColumn id="1" xr3:uid="{AF6752F5-E305-4B5C-9A79-B7DDF1DBD47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52BB-984B-429C-AAE2-23B97F0FF79F}" name="Table4" displayName="Table4" ref="A1:A14" totalsRowShown="0">
  <autoFilter ref="A1:A14" xr:uid="{FB9352BB-984B-429C-AAE2-23B97F0FF79F}"/>
  <tableColumns count="1">
    <tableColumn id="1" xr3:uid="{0F7F5A6E-A372-4EE9-8219-7C6E84C55604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9F95F1-7522-4508-959F-E01AD0D0660E}" name="Table3" displayName="Table3" ref="A1:C181" totalsRowShown="0">
  <autoFilter ref="A1:C181" xr:uid="{209F95F1-7522-4508-959F-E01AD0D0660E}"/>
  <tableColumns count="3">
    <tableColumn id="1" xr3:uid="{6AD8BE8A-A359-4B84-839E-F9B777C3A538}" name="Site_id"/>
    <tableColumn id="2" xr3:uid="{50383135-A74C-4618-A5B9-3821B35F7240}" name="Period"/>
    <tableColumn id="3" xr3:uid="{E56F31D7-D701-49F9-8E32-5E410C3155CA}" name="actual_energy_kw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D9826-F3C3-4FAE-9556-C2C4A5916C33}" name="Table2" displayName="Table2" ref="A1:E181" totalsRowShown="0">
  <autoFilter ref="A1:E181" xr:uid="{396D9826-F3C3-4FAE-9556-C2C4A5916C33}"/>
  <tableColumns count="5">
    <tableColumn id="1" xr3:uid="{2AE7E597-3803-464F-92DE-562AA1497CE1}" name="Site_id"/>
    <tableColumn id="2" xr3:uid="{D738AF40-E1EB-4CF6-BEB3-2A9F132BCBFF}" name="Period"/>
    <tableColumn id="3" xr3:uid="{87F0C5B8-B02A-4661-83C6-FB4A5E8EA1EE}" name="guaranteed_energy_kwh"/>
    <tableColumn id="4" xr3:uid="{EBE31FEB-7D74-4E98-8831-1B6E4ACAACE2}" name="energy_rate_per_kwh" dataDxfId="9"/>
    <tableColumn id="5" xr3:uid="{5BCF924E-5D5A-4E59-B2D7-0732AC322DD8}" name="guarante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3B599-7103-47F2-8E33-495219884263}" name="Table1" displayName="Table1" ref="A1:I181" totalsRowShown="0">
  <autoFilter ref="A1:I181" xr:uid="{7ED3B599-7103-47F2-8E33-495219884263}"/>
  <tableColumns count="9">
    <tableColumn id="1" xr3:uid="{A2E6EFD5-7CC1-42F2-A4B0-19F10AC5DD0A}" name="Site_id"/>
    <tableColumn id="2" xr3:uid="{C9757552-E77E-4A90-9A8F-2136A354CDFB}" name="Period"/>
    <tableColumn id="3" xr3:uid="{5988F716-D3E1-4364-B7B0-35DB2DBBCBF1}" name="actual_energy_kwh"/>
    <tableColumn id="4" xr3:uid="{26AA6E90-DA53-4DEF-8272-B5FBBD80E6F6}" name="guaranteed_energy_kwh"/>
    <tableColumn id="5" xr3:uid="{A867A0FC-173E-445D-89F1-83CDBDF513BD}" name="shortfall_kwh">
      <calculatedColumnFormula>MAX(D2 - C2, 0)</calculatedColumnFormula>
    </tableColumn>
    <tableColumn id="6" xr3:uid="{0FE4DF92-CDE5-4826-9E99-30EF4C8B208C}" name="breach_flag">
      <calculatedColumnFormula>IF(E2 &gt; 0, "BREACH", "COMPLIANT")</calculatedColumnFormula>
    </tableColumn>
    <tableColumn id="7" xr3:uid="{5A7C5E4B-4DE2-446F-82C1-361F84554004}" name="energy_rate_per_kwh" dataDxfId="10"/>
    <tableColumn id="8" xr3:uid="{1AE12622-934B-4D97-B2EA-C9E789CD75A6}" name="refund_amount_usd">
      <calculatedColumnFormula>E2 * G2</calculatedColumnFormula>
    </tableColumn>
    <tableColumn id="9" xr3:uid="{C1CCFA51-FD32-4A7F-9A8B-E09EDD8C0A1A}" name="regio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79495C-11BD-44E8-86F9-A52902361684}" name="Table6" displayName="Table6" ref="A22:B37" totalsRowShown="0" headerRowDxfId="8" headerRowBorderDxfId="7">
  <autoFilter ref="A22:B37" xr:uid="{8D79495C-11BD-44E8-86F9-A52902361684}"/>
  <tableColumns count="2">
    <tableColumn id="1" xr3:uid="{E05E09C8-1E05-42B5-AF52-101E57E6B813}" name="Row Labels" dataDxfId="6"/>
    <tableColumn id="2" xr3:uid="{EF6B331A-AFF9-40DC-84C7-1B2AEF5FD2B9}" name="Total_Refund_Exposure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9FAAA3-CFC4-40CA-AC4B-4607DFC0DE6E}" name="Table7" displayName="Table7" ref="D22:E37" totalsRowShown="0" headerRowDxfId="1" headerRowBorderDxfId="4">
  <autoFilter ref="D22:E37" xr:uid="{089FAAA3-CFC4-40CA-AC4B-4607DFC0DE6E}"/>
  <tableColumns count="2">
    <tableColumn id="1" xr3:uid="{B659A74F-0533-455F-91CC-B8FCCFE7E87D}" name="Row Labels" dataDxfId="3"/>
    <tableColumn id="2" xr3:uid="{1876F181-F907-4F20-A17C-F788DADCBC2A}" name="breach_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68F6-DEE3-41CA-9724-F684457901DB}">
  <dimension ref="A1:A17"/>
  <sheetViews>
    <sheetView workbookViewId="0">
      <selection sqref="A1:A17"/>
    </sheetView>
  </sheetViews>
  <sheetFormatPr defaultRowHeight="14.4" x14ac:dyDescent="0.3"/>
  <cols>
    <col min="1" max="1" width="18.21875" customWidth="1"/>
  </cols>
  <sheetData>
    <row r="1" spans="1:1" x14ac:dyDescent="0.3">
      <c r="A1" t="s">
        <v>37</v>
      </c>
    </row>
    <row r="2" spans="1:1" x14ac:dyDescent="0.3">
      <c r="A2" t="s">
        <v>28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D45C-F1FA-4F76-9C4B-822EFA00F54E}">
  <dimension ref="A1:A14"/>
  <sheetViews>
    <sheetView workbookViewId="0">
      <selection sqref="A1:A14"/>
    </sheetView>
  </sheetViews>
  <sheetFormatPr defaultRowHeight="14.4" x14ac:dyDescent="0.3"/>
  <cols>
    <col min="1" max="1" width="10.33203125" customWidth="1"/>
  </cols>
  <sheetData>
    <row r="1" spans="1:1" x14ac:dyDescent="0.3">
      <c r="A1" t="s">
        <v>37</v>
      </c>
    </row>
    <row r="2" spans="1:1" x14ac:dyDescent="0.3">
      <c r="A2" t="s">
        <v>27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25</v>
      </c>
    </row>
    <row r="14" spans="1:1" x14ac:dyDescent="0.3">
      <c r="A14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75CD-16C9-40B2-8A38-E1470665DF5F}">
  <dimension ref="A1:I195"/>
  <sheetViews>
    <sheetView workbookViewId="0">
      <selection sqref="A1:C181"/>
    </sheetView>
  </sheetViews>
  <sheetFormatPr defaultRowHeight="14.4" x14ac:dyDescent="0.3"/>
  <cols>
    <col min="1" max="1" width="25.33203125" customWidth="1"/>
    <col min="2" max="2" width="22" customWidth="1"/>
    <col min="3" max="3" width="18.44140625" customWidth="1"/>
    <col min="4" max="4" width="21.77734375" customWidth="1"/>
    <col min="5" max="5" width="21" customWidth="1"/>
    <col min="6" max="6" width="13.5546875" customWidth="1"/>
  </cols>
  <sheetData>
    <row r="1" spans="1:9" x14ac:dyDescent="0.3">
      <c r="A1" s="1" t="s">
        <v>28</v>
      </c>
      <c r="B1" s="1" t="s">
        <v>27</v>
      </c>
      <c r="C1" t="s">
        <v>29</v>
      </c>
      <c r="D1" s="3"/>
    </row>
    <row r="2" spans="1:9" x14ac:dyDescent="0.3">
      <c r="A2" s="2" t="s">
        <v>0</v>
      </c>
      <c r="B2" s="2" t="s">
        <v>15</v>
      </c>
      <c r="C2">
        <v>315757</v>
      </c>
      <c r="D2" s="3"/>
      <c r="I2" s="1"/>
    </row>
    <row r="3" spans="1:9" x14ac:dyDescent="0.3">
      <c r="A3" s="2" t="s">
        <v>0</v>
      </c>
      <c r="B3" s="2" t="s">
        <v>16</v>
      </c>
      <c r="C3">
        <v>397030</v>
      </c>
      <c r="D3" s="3"/>
      <c r="I3" s="1"/>
    </row>
    <row r="4" spans="1:9" x14ac:dyDescent="0.3">
      <c r="A4" s="2" t="s">
        <v>0</v>
      </c>
      <c r="B4" s="2" t="s">
        <v>17</v>
      </c>
      <c r="C4">
        <v>235787</v>
      </c>
      <c r="D4" s="3"/>
      <c r="I4" s="1"/>
    </row>
    <row r="5" spans="1:9" x14ac:dyDescent="0.3">
      <c r="A5" s="2" t="s">
        <v>0</v>
      </c>
      <c r="B5" s="2" t="s">
        <v>18</v>
      </c>
      <c r="C5">
        <v>155094</v>
      </c>
      <c r="D5" s="3"/>
      <c r="I5" s="1"/>
    </row>
    <row r="6" spans="1:9" x14ac:dyDescent="0.3">
      <c r="A6" s="2" t="s">
        <v>0</v>
      </c>
      <c r="B6" s="2" t="s">
        <v>19</v>
      </c>
      <c r="C6">
        <v>448663</v>
      </c>
      <c r="D6" s="3"/>
      <c r="I6" s="1"/>
    </row>
    <row r="7" spans="1:9" x14ac:dyDescent="0.3">
      <c r="A7" s="2" t="s">
        <v>0</v>
      </c>
      <c r="B7" s="2" t="s">
        <v>20</v>
      </c>
      <c r="C7">
        <v>415920</v>
      </c>
      <c r="D7" s="3"/>
      <c r="I7" s="1"/>
    </row>
    <row r="8" spans="1:9" x14ac:dyDescent="0.3">
      <c r="A8" s="2" t="s">
        <v>0</v>
      </c>
      <c r="B8" s="2" t="s">
        <v>21</v>
      </c>
      <c r="C8">
        <v>250402</v>
      </c>
      <c r="D8" s="3"/>
      <c r="I8" s="1"/>
    </row>
    <row r="9" spans="1:9" x14ac:dyDescent="0.3">
      <c r="A9" s="2" t="s">
        <v>0</v>
      </c>
      <c r="B9" s="2" t="s">
        <v>22</v>
      </c>
      <c r="C9">
        <v>317265</v>
      </c>
      <c r="D9" s="3"/>
      <c r="I9" s="1"/>
    </row>
    <row r="10" spans="1:9" x14ac:dyDescent="0.3">
      <c r="A10" s="2" t="s">
        <v>0</v>
      </c>
      <c r="B10" s="2" t="s">
        <v>23</v>
      </c>
      <c r="C10">
        <v>311547</v>
      </c>
      <c r="D10" s="3"/>
      <c r="I10" s="1"/>
    </row>
    <row r="11" spans="1:9" x14ac:dyDescent="0.3">
      <c r="A11" s="2" t="s">
        <v>0</v>
      </c>
      <c r="B11" s="2" t="s">
        <v>24</v>
      </c>
      <c r="C11">
        <v>140424</v>
      </c>
      <c r="D11" s="3"/>
      <c r="I11" s="1"/>
    </row>
    <row r="12" spans="1:9" x14ac:dyDescent="0.3">
      <c r="A12" s="2" t="s">
        <v>0</v>
      </c>
      <c r="B12" s="2" t="s">
        <v>25</v>
      </c>
      <c r="C12">
        <v>137588</v>
      </c>
      <c r="D12" s="3"/>
      <c r="I12" s="1"/>
    </row>
    <row r="13" spans="1:9" x14ac:dyDescent="0.3">
      <c r="A13" s="2" t="s">
        <v>0</v>
      </c>
      <c r="B13" s="2" t="s">
        <v>26</v>
      </c>
      <c r="C13">
        <v>355541</v>
      </c>
      <c r="D13" s="3"/>
      <c r="I13" s="1"/>
    </row>
    <row r="14" spans="1:9" x14ac:dyDescent="0.3">
      <c r="A14" s="2" t="s">
        <v>1</v>
      </c>
      <c r="B14" s="2" t="s">
        <v>15</v>
      </c>
      <c r="C14">
        <v>258365</v>
      </c>
      <c r="D14" s="3"/>
      <c r="I14" s="1"/>
    </row>
    <row r="15" spans="1:9" x14ac:dyDescent="0.3">
      <c r="A15" s="2" t="s">
        <v>1</v>
      </c>
      <c r="B15" s="2" t="s">
        <v>16</v>
      </c>
      <c r="C15">
        <v>211567</v>
      </c>
      <c r="D15" s="3"/>
      <c r="I15" s="1"/>
    </row>
    <row r="16" spans="1:9" x14ac:dyDescent="0.3">
      <c r="A16" s="2" t="s">
        <v>1</v>
      </c>
      <c r="B16" s="2" t="s">
        <v>17</v>
      </c>
      <c r="C16">
        <v>111943</v>
      </c>
      <c r="D16" s="3"/>
      <c r="I16" s="1"/>
    </row>
    <row r="17" spans="1:9" x14ac:dyDescent="0.3">
      <c r="A17" s="2" t="s">
        <v>1</v>
      </c>
      <c r="B17" s="2" t="s">
        <v>18</v>
      </c>
      <c r="C17">
        <v>343316</v>
      </c>
      <c r="D17" s="3"/>
      <c r="I17" s="1"/>
    </row>
    <row r="18" spans="1:9" x14ac:dyDescent="0.3">
      <c r="A18" s="2" t="s">
        <v>1</v>
      </c>
      <c r="B18" s="2" t="s">
        <v>19</v>
      </c>
      <c r="C18">
        <v>161391</v>
      </c>
      <c r="D18" s="3"/>
      <c r="I18" s="1"/>
    </row>
    <row r="19" spans="1:9" x14ac:dyDescent="0.3">
      <c r="A19" s="2" t="s">
        <v>1</v>
      </c>
      <c r="B19" s="2" t="s">
        <v>20</v>
      </c>
      <c r="C19">
        <v>126187</v>
      </c>
      <c r="D19" s="3"/>
      <c r="I19" s="1"/>
    </row>
    <row r="20" spans="1:9" x14ac:dyDescent="0.3">
      <c r="A20" s="2" t="s">
        <v>1</v>
      </c>
      <c r="B20" s="2" t="s">
        <v>21</v>
      </c>
      <c r="C20">
        <v>273723</v>
      </c>
      <c r="D20" s="3"/>
      <c r="I20" s="1"/>
    </row>
    <row r="21" spans="1:9" x14ac:dyDescent="0.3">
      <c r="A21" s="2" t="s">
        <v>1</v>
      </c>
      <c r="B21" s="2" t="s">
        <v>22</v>
      </c>
      <c r="C21">
        <v>305587</v>
      </c>
      <c r="D21" s="3"/>
      <c r="I21" s="1"/>
    </row>
    <row r="22" spans="1:9" x14ac:dyDescent="0.3">
      <c r="A22" s="2" t="s">
        <v>1</v>
      </c>
      <c r="B22" s="2" t="s">
        <v>23</v>
      </c>
      <c r="C22">
        <v>243064</v>
      </c>
      <c r="D22" s="3"/>
      <c r="I22" s="1"/>
    </row>
    <row r="23" spans="1:9" x14ac:dyDescent="0.3">
      <c r="A23" s="2" t="s">
        <v>1</v>
      </c>
      <c r="B23" s="2" t="s">
        <v>24</v>
      </c>
      <c r="C23">
        <v>371729</v>
      </c>
      <c r="D23" s="3"/>
      <c r="I23" s="1"/>
    </row>
    <row r="24" spans="1:9" x14ac:dyDescent="0.3">
      <c r="A24" s="2" t="s">
        <v>1</v>
      </c>
      <c r="B24" s="2" t="s">
        <v>25</v>
      </c>
      <c r="C24">
        <v>250710</v>
      </c>
      <c r="D24" s="3"/>
      <c r="I24" s="1"/>
    </row>
    <row r="25" spans="1:9" x14ac:dyDescent="0.3">
      <c r="A25" s="2" t="s">
        <v>1</v>
      </c>
      <c r="B25" s="2" t="s">
        <v>26</v>
      </c>
      <c r="C25">
        <v>329345</v>
      </c>
      <c r="D25" s="3"/>
      <c r="I25" s="1"/>
    </row>
    <row r="26" spans="1:9" x14ac:dyDescent="0.3">
      <c r="A26" t="s">
        <v>2</v>
      </c>
      <c r="B26" t="s">
        <v>15</v>
      </c>
      <c r="C26">
        <v>172095</v>
      </c>
      <c r="D26" s="3"/>
      <c r="I26" s="1"/>
    </row>
    <row r="27" spans="1:9" x14ac:dyDescent="0.3">
      <c r="A27" t="s">
        <v>2</v>
      </c>
      <c r="B27" t="s">
        <v>16</v>
      </c>
      <c r="C27">
        <v>311738</v>
      </c>
      <c r="D27" s="3"/>
      <c r="I27" s="1"/>
    </row>
    <row r="28" spans="1:9" x14ac:dyDescent="0.3">
      <c r="A28" t="s">
        <v>2</v>
      </c>
      <c r="B28" t="s">
        <v>17</v>
      </c>
      <c r="C28">
        <v>291786</v>
      </c>
      <c r="D28" s="3"/>
      <c r="I28" s="1"/>
    </row>
    <row r="29" spans="1:9" x14ac:dyDescent="0.3">
      <c r="A29" t="s">
        <v>2</v>
      </c>
      <c r="B29" t="s">
        <v>18</v>
      </c>
      <c r="C29">
        <v>140390</v>
      </c>
      <c r="D29" s="3"/>
      <c r="I29" s="1"/>
    </row>
    <row r="30" spans="1:9" x14ac:dyDescent="0.3">
      <c r="A30" t="s">
        <v>2</v>
      </c>
      <c r="B30" t="s">
        <v>19</v>
      </c>
      <c r="C30">
        <v>361330</v>
      </c>
      <c r="D30" s="3"/>
      <c r="I30" s="1"/>
    </row>
    <row r="31" spans="1:9" x14ac:dyDescent="0.3">
      <c r="A31" t="s">
        <v>2</v>
      </c>
      <c r="B31" t="s">
        <v>20</v>
      </c>
      <c r="C31">
        <v>200471</v>
      </c>
      <c r="D31" s="3"/>
      <c r="I31" s="1"/>
    </row>
    <row r="32" spans="1:9" x14ac:dyDescent="0.3">
      <c r="A32" t="s">
        <v>2</v>
      </c>
      <c r="B32" t="s">
        <v>21</v>
      </c>
      <c r="C32">
        <v>263667</v>
      </c>
      <c r="D32" s="3"/>
      <c r="I32" s="1"/>
    </row>
    <row r="33" spans="1:9" x14ac:dyDescent="0.3">
      <c r="A33" t="s">
        <v>2</v>
      </c>
      <c r="B33" t="s">
        <v>22</v>
      </c>
      <c r="C33">
        <v>391715</v>
      </c>
      <c r="D33" s="3"/>
      <c r="I33" s="1"/>
    </row>
    <row r="34" spans="1:9" x14ac:dyDescent="0.3">
      <c r="A34" t="s">
        <v>2</v>
      </c>
      <c r="B34" t="s">
        <v>23</v>
      </c>
      <c r="C34">
        <v>252011</v>
      </c>
      <c r="D34" s="3"/>
      <c r="I34" s="1"/>
    </row>
    <row r="35" spans="1:9" x14ac:dyDescent="0.3">
      <c r="A35" t="s">
        <v>2</v>
      </c>
      <c r="B35" t="s">
        <v>24</v>
      </c>
      <c r="C35">
        <v>283500</v>
      </c>
      <c r="D35" s="3"/>
      <c r="I35" s="1"/>
    </row>
    <row r="36" spans="1:9" x14ac:dyDescent="0.3">
      <c r="A36" t="s">
        <v>2</v>
      </c>
      <c r="B36" t="s">
        <v>25</v>
      </c>
      <c r="C36">
        <v>339076</v>
      </c>
      <c r="D36" s="3"/>
      <c r="I36" s="1"/>
    </row>
    <row r="37" spans="1:9" x14ac:dyDescent="0.3">
      <c r="A37" t="s">
        <v>2</v>
      </c>
      <c r="B37" t="s">
        <v>26</v>
      </c>
      <c r="C37">
        <v>392173</v>
      </c>
      <c r="D37" s="3"/>
      <c r="I37" s="1"/>
    </row>
    <row r="38" spans="1:9" x14ac:dyDescent="0.3">
      <c r="A38" t="s">
        <v>3</v>
      </c>
      <c r="B38" t="s">
        <v>15</v>
      </c>
      <c r="C38">
        <v>378433</v>
      </c>
      <c r="D38" s="3"/>
      <c r="I38" s="1"/>
    </row>
    <row r="39" spans="1:9" x14ac:dyDescent="0.3">
      <c r="A39" t="s">
        <v>3</v>
      </c>
      <c r="B39" t="s">
        <v>16</v>
      </c>
      <c r="C39">
        <v>80474</v>
      </c>
      <c r="D39" s="3"/>
      <c r="I39" s="1"/>
    </row>
    <row r="40" spans="1:9" x14ac:dyDescent="0.3">
      <c r="A40" t="s">
        <v>3</v>
      </c>
      <c r="B40" t="s">
        <v>17</v>
      </c>
      <c r="C40">
        <v>254439</v>
      </c>
      <c r="D40" s="3"/>
      <c r="I40" s="1"/>
    </row>
    <row r="41" spans="1:9" x14ac:dyDescent="0.3">
      <c r="A41" t="s">
        <v>3</v>
      </c>
      <c r="B41" t="s">
        <v>18</v>
      </c>
      <c r="C41">
        <v>122212</v>
      </c>
      <c r="D41" s="3"/>
      <c r="I41" s="1"/>
    </row>
    <row r="42" spans="1:9" x14ac:dyDescent="0.3">
      <c r="A42" t="s">
        <v>3</v>
      </c>
      <c r="B42" t="s">
        <v>19</v>
      </c>
      <c r="C42">
        <v>320958</v>
      </c>
      <c r="D42" s="3"/>
      <c r="I42" s="1"/>
    </row>
    <row r="43" spans="1:9" x14ac:dyDescent="0.3">
      <c r="A43" t="s">
        <v>3</v>
      </c>
      <c r="B43" t="s">
        <v>20</v>
      </c>
      <c r="C43">
        <v>336651</v>
      </c>
      <c r="D43" s="3"/>
      <c r="I43" s="1"/>
    </row>
    <row r="44" spans="1:9" x14ac:dyDescent="0.3">
      <c r="A44" t="s">
        <v>3</v>
      </c>
      <c r="B44" t="s">
        <v>21</v>
      </c>
      <c r="C44">
        <v>278219</v>
      </c>
      <c r="D44" s="3"/>
      <c r="I44" s="1"/>
    </row>
    <row r="45" spans="1:9" x14ac:dyDescent="0.3">
      <c r="A45" t="s">
        <v>3</v>
      </c>
      <c r="B45" t="s">
        <v>22</v>
      </c>
      <c r="C45">
        <v>374529</v>
      </c>
      <c r="D45" s="3"/>
      <c r="I45" s="1"/>
    </row>
    <row r="46" spans="1:9" x14ac:dyDescent="0.3">
      <c r="A46" t="s">
        <v>3</v>
      </c>
      <c r="B46" t="s">
        <v>23</v>
      </c>
      <c r="C46">
        <v>230903</v>
      </c>
      <c r="D46" s="3"/>
      <c r="I46" s="1"/>
    </row>
    <row r="47" spans="1:9" x14ac:dyDescent="0.3">
      <c r="A47" t="s">
        <v>3</v>
      </c>
      <c r="B47" t="s">
        <v>24</v>
      </c>
      <c r="C47">
        <v>110135</v>
      </c>
      <c r="D47" s="3"/>
      <c r="I47" s="1"/>
    </row>
    <row r="48" spans="1:9" x14ac:dyDescent="0.3">
      <c r="A48" t="s">
        <v>3</v>
      </c>
      <c r="B48" t="s">
        <v>25</v>
      </c>
      <c r="C48">
        <v>137144</v>
      </c>
      <c r="D48" s="3"/>
      <c r="I48" s="1"/>
    </row>
    <row r="49" spans="1:9" x14ac:dyDescent="0.3">
      <c r="A49" t="s">
        <v>3</v>
      </c>
      <c r="B49" t="s">
        <v>26</v>
      </c>
      <c r="C49">
        <v>130551</v>
      </c>
      <c r="D49" s="3"/>
      <c r="I49" s="1"/>
    </row>
    <row r="50" spans="1:9" x14ac:dyDescent="0.3">
      <c r="A50" t="s">
        <v>4</v>
      </c>
      <c r="B50" t="s">
        <v>15</v>
      </c>
      <c r="C50">
        <v>310981</v>
      </c>
      <c r="D50" s="3"/>
      <c r="I50" s="1"/>
    </row>
    <row r="51" spans="1:9" x14ac:dyDescent="0.3">
      <c r="A51" t="s">
        <v>4</v>
      </c>
      <c r="B51" t="s">
        <v>16</v>
      </c>
      <c r="C51">
        <v>141828</v>
      </c>
      <c r="D51" s="3"/>
      <c r="I51" s="1"/>
    </row>
    <row r="52" spans="1:9" x14ac:dyDescent="0.3">
      <c r="A52" t="s">
        <v>4</v>
      </c>
      <c r="B52" t="s">
        <v>17</v>
      </c>
      <c r="C52">
        <v>144633</v>
      </c>
      <c r="D52" s="3"/>
      <c r="I52" s="1"/>
    </row>
    <row r="53" spans="1:9" x14ac:dyDescent="0.3">
      <c r="A53" t="s">
        <v>4</v>
      </c>
      <c r="B53" t="s">
        <v>18</v>
      </c>
      <c r="C53">
        <v>166267</v>
      </c>
      <c r="D53" s="3"/>
      <c r="I53" s="1"/>
    </row>
    <row r="54" spans="1:9" x14ac:dyDescent="0.3">
      <c r="A54" t="s">
        <v>4</v>
      </c>
      <c r="B54" t="s">
        <v>19</v>
      </c>
      <c r="C54">
        <v>293931</v>
      </c>
      <c r="D54" s="3"/>
      <c r="I54" s="1"/>
    </row>
    <row r="55" spans="1:9" x14ac:dyDescent="0.3">
      <c r="A55" t="s">
        <v>4</v>
      </c>
      <c r="B55" t="s">
        <v>20</v>
      </c>
      <c r="C55">
        <v>329678</v>
      </c>
      <c r="D55" s="3"/>
      <c r="I55" s="1"/>
    </row>
    <row r="56" spans="1:9" x14ac:dyDescent="0.3">
      <c r="A56" t="s">
        <v>4</v>
      </c>
      <c r="B56" t="s">
        <v>21</v>
      </c>
      <c r="C56">
        <v>175395</v>
      </c>
      <c r="D56" s="3"/>
      <c r="I56" s="1"/>
    </row>
    <row r="57" spans="1:9" x14ac:dyDescent="0.3">
      <c r="A57" t="s">
        <v>4</v>
      </c>
      <c r="B57" t="s">
        <v>22</v>
      </c>
      <c r="C57">
        <v>310575</v>
      </c>
      <c r="D57" s="3"/>
      <c r="I57" s="1"/>
    </row>
    <row r="58" spans="1:9" x14ac:dyDescent="0.3">
      <c r="A58" t="s">
        <v>4</v>
      </c>
      <c r="B58" t="s">
        <v>23</v>
      </c>
      <c r="C58">
        <v>191349</v>
      </c>
      <c r="D58" s="3"/>
      <c r="I58" s="1"/>
    </row>
    <row r="59" spans="1:9" x14ac:dyDescent="0.3">
      <c r="A59" t="s">
        <v>4</v>
      </c>
      <c r="B59" t="s">
        <v>24</v>
      </c>
      <c r="C59">
        <v>229452</v>
      </c>
      <c r="D59" s="3"/>
      <c r="I59" s="1"/>
    </row>
    <row r="60" spans="1:9" x14ac:dyDescent="0.3">
      <c r="A60" t="s">
        <v>4</v>
      </c>
      <c r="B60" t="s">
        <v>25</v>
      </c>
      <c r="C60">
        <v>403397</v>
      </c>
      <c r="D60" s="3"/>
      <c r="I60" s="1"/>
    </row>
    <row r="61" spans="1:9" x14ac:dyDescent="0.3">
      <c r="A61" t="s">
        <v>4</v>
      </c>
      <c r="B61" t="s">
        <v>26</v>
      </c>
      <c r="C61">
        <v>276582</v>
      </c>
      <c r="D61" s="3"/>
      <c r="I61" s="1"/>
    </row>
    <row r="62" spans="1:9" x14ac:dyDescent="0.3">
      <c r="A62" t="s">
        <v>5</v>
      </c>
      <c r="B62" t="s">
        <v>15</v>
      </c>
      <c r="C62">
        <v>156497</v>
      </c>
      <c r="D62" s="3"/>
      <c r="I62" s="1"/>
    </row>
    <row r="63" spans="1:9" x14ac:dyDescent="0.3">
      <c r="A63" t="s">
        <v>5</v>
      </c>
      <c r="B63" t="s">
        <v>16</v>
      </c>
      <c r="C63">
        <v>424590</v>
      </c>
      <c r="D63" s="3"/>
      <c r="I63" s="1"/>
    </row>
    <row r="64" spans="1:9" x14ac:dyDescent="0.3">
      <c r="A64" t="s">
        <v>5</v>
      </c>
      <c r="B64" t="s">
        <v>17</v>
      </c>
      <c r="C64">
        <v>301752</v>
      </c>
      <c r="D64" s="3"/>
      <c r="I64" s="1"/>
    </row>
    <row r="65" spans="1:9" x14ac:dyDescent="0.3">
      <c r="A65" t="s">
        <v>5</v>
      </c>
      <c r="B65" t="s">
        <v>18</v>
      </c>
      <c r="C65">
        <v>308140</v>
      </c>
      <c r="D65" s="3"/>
      <c r="I65" s="1"/>
    </row>
    <row r="66" spans="1:9" x14ac:dyDescent="0.3">
      <c r="A66" t="s">
        <v>5</v>
      </c>
      <c r="B66" t="s">
        <v>19</v>
      </c>
      <c r="C66">
        <v>135183</v>
      </c>
      <c r="D66" s="3"/>
      <c r="I66" s="1"/>
    </row>
    <row r="67" spans="1:9" x14ac:dyDescent="0.3">
      <c r="A67" t="s">
        <v>5</v>
      </c>
      <c r="B67" t="s">
        <v>20</v>
      </c>
      <c r="C67">
        <v>367630</v>
      </c>
      <c r="D67" s="3"/>
      <c r="I67" s="1"/>
    </row>
    <row r="68" spans="1:9" x14ac:dyDescent="0.3">
      <c r="A68" t="s">
        <v>5</v>
      </c>
      <c r="B68" t="s">
        <v>21</v>
      </c>
      <c r="C68">
        <v>277660</v>
      </c>
      <c r="D68" s="3"/>
      <c r="I68" s="1"/>
    </row>
    <row r="69" spans="1:9" x14ac:dyDescent="0.3">
      <c r="A69" t="s">
        <v>5</v>
      </c>
      <c r="B69" t="s">
        <v>22</v>
      </c>
      <c r="C69">
        <v>408799</v>
      </c>
      <c r="D69" s="3"/>
      <c r="I69" s="1"/>
    </row>
    <row r="70" spans="1:9" x14ac:dyDescent="0.3">
      <c r="A70" t="s">
        <v>5</v>
      </c>
      <c r="B70" t="s">
        <v>23</v>
      </c>
      <c r="C70">
        <v>87312</v>
      </c>
      <c r="D70" s="3"/>
      <c r="I70" s="1"/>
    </row>
    <row r="71" spans="1:9" x14ac:dyDescent="0.3">
      <c r="A71" t="s">
        <v>5</v>
      </c>
      <c r="B71" t="s">
        <v>24</v>
      </c>
      <c r="C71">
        <v>121601</v>
      </c>
      <c r="D71" s="3"/>
      <c r="I71" s="1"/>
    </row>
    <row r="72" spans="1:9" x14ac:dyDescent="0.3">
      <c r="A72" t="s">
        <v>5</v>
      </c>
      <c r="B72" t="s">
        <v>25</v>
      </c>
      <c r="C72">
        <v>252448</v>
      </c>
      <c r="D72" s="3"/>
      <c r="I72" s="1"/>
    </row>
    <row r="73" spans="1:9" x14ac:dyDescent="0.3">
      <c r="A73" t="s">
        <v>5</v>
      </c>
      <c r="B73" t="s">
        <v>26</v>
      </c>
      <c r="C73">
        <v>215427</v>
      </c>
      <c r="D73" s="3"/>
      <c r="I73" s="1"/>
    </row>
    <row r="74" spans="1:9" x14ac:dyDescent="0.3">
      <c r="A74" t="s">
        <v>6</v>
      </c>
      <c r="B74" t="s">
        <v>15</v>
      </c>
      <c r="C74">
        <v>299621</v>
      </c>
      <c r="D74" s="3"/>
      <c r="I74" s="1"/>
    </row>
    <row r="75" spans="1:9" x14ac:dyDescent="0.3">
      <c r="A75" t="s">
        <v>6</v>
      </c>
      <c r="B75" t="s">
        <v>16</v>
      </c>
      <c r="C75">
        <v>445299</v>
      </c>
      <c r="D75" s="3"/>
      <c r="I75" s="1"/>
    </row>
    <row r="76" spans="1:9" x14ac:dyDescent="0.3">
      <c r="A76" t="s">
        <v>6</v>
      </c>
      <c r="B76" t="s">
        <v>17</v>
      </c>
      <c r="C76">
        <v>222869</v>
      </c>
      <c r="D76" s="3"/>
      <c r="I76" s="1"/>
    </row>
    <row r="77" spans="1:9" x14ac:dyDescent="0.3">
      <c r="A77" t="s">
        <v>6</v>
      </c>
      <c r="B77" t="s">
        <v>18</v>
      </c>
      <c r="C77">
        <v>329281</v>
      </c>
      <c r="D77" s="3"/>
      <c r="I77" s="1"/>
    </row>
    <row r="78" spans="1:9" x14ac:dyDescent="0.3">
      <c r="A78" t="s">
        <v>6</v>
      </c>
      <c r="B78" t="s">
        <v>19</v>
      </c>
      <c r="C78">
        <v>260645</v>
      </c>
      <c r="D78" s="3"/>
      <c r="I78" s="1"/>
    </row>
    <row r="79" spans="1:9" x14ac:dyDescent="0.3">
      <c r="A79" t="s">
        <v>6</v>
      </c>
      <c r="B79" t="s">
        <v>20</v>
      </c>
      <c r="C79">
        <v>96510</v>
      </c>
      <c r="D79" s="3"/>
      <c r="I79" s="1"/>
    </row>
    <row r="80" spans="1:9" x14ac:dyDescent="0.3">
      <c r="A80" t="s">
        <v>6</v>
      </c>
      <c r="B80" t="s">
        <v>21</v>
      </c>
      <c r="C80">
        <v>184838</v>
      </c>
      <c r="D80" s="3"/>
      <c r="I80" s="1"/>
    </row>
    <row r="81" spans="1:9" x14ac:dyDescent="0.3">
      <c r="A81" t="s">
        <v>6</v>
      </c>
      <c r="B81" t="s">
        <v>22</v>
      </c>
      <c r="C81">
        <v>106857</v>
      </c>
      <c r="D81" s="3"/>
      <c r="I81" s="1"/>
    </row>
    <row r="82" spans="1:9" x14ac:dyDescent="0.3">
      <c r="A82" t="s">
        <v>6</v>
      </c>
      <c r="B82" t="s">
        <v>23</v>
      </c>
      <c r="C82">
        <v>321875</v>
      </c>
      <c r="D82" s="3"/>
      <c r="I82" s="1"/>
    </row>
    <row r="83" spans="1:9" x14ac:dyDescent="0.3">
      <c r="A83" t="s">
        <v>6</v>
      </c>
      <c r="B83" t="s">
        <v>24</v>
      </c>
      <c r="C83">
        <v>215337</v>
      </c>
      <c r="D83" s="3"/>
      <c r="I83" s="1"/>
    </row>
    <row r="84" spans="1:9" x14ac:dyDescent="0.3">
      <c r="A84" t="s">
        <v>6</v>
      </c>
      <c r="B84" t="s">
        <v>25</v>
      </c>
      <c r="C84">
        <v>101255</v>
      </c>
      <c r="D84" s="3"/>
      <c r="I84" s="1"/>
    </row>
    <row r="85" spans="1:9" x14ac:dyDescent="0.3">
      <c r="A85" t="s">
        <v>6</v>
      </c>
      <c r="B85" t="s">
        <v>26</v>
      </c>
      <c r="C85">
        <v>331467</v>
      </c>
      <c r="D85" s="3"/>
      <c r="I85" s="1"/>
    </row>
    <row r="86" spans="1:9" x14ac:dyDescent="0.3">
      <c r="A86" t="s">
        <v>7</v>
      </c>
      <c r="B86" t="s">
        <v>15</v>
      </c>
      <c r="C86">
        <v>441475</v>
      </c>
      <c r="D86" s="3"/>
      <c r="I86" s="1"/>
    </row>
    <row r="87" spans="1:9" x14ac:dyDescent="0.3">
      <c r="A87" t="s">
        <v>7</v>
      </c>
      <c r="B87" t="s">
        <v>16</v>
      </c>
      <c r="C87">
        <v>86637</v>
      </c>
      <c r="D87" s="3"/>
      <c r="I87" s="1"/>
    </row>
    <row r="88" spans="1:9" x14ac:dyDescent="0.3">
      <c r="A88" t="s">
        <v>7</v>
      </c>
      <c r="B88" t="s">
        <v>17</v>
      </c>
      <c r="C88">
        <v>370569</v>
      </c>
      <c r="D88" s="3"/>
      <c r="I88" s="1"/>
    </row>
    <row r="89" spans="1:9" x14ac:dyDescent="0.3">
      <c r="A89" t="s">
        <v>7</v>
      </c>
      <c r="B89" t="s">
        <v>18</v>
      </c>
      <c r="C89">
        <v>237914</v>
      </c>
      <c r="D89" s="3"/>
      <c r="I89" s="1"/>
    </row>
    <row r="90" spans="1:9" x14ac:dyDescent="0.3">
      <c r="A90" t="s">
        <v>7</v>
      </c>
      <c r="B90" t="s">
        <v>19</v>
      </c>
      <c r="C90">
        <v>153326</v>
      </c>
      <c r="D90" s="3"/>
      <c r="I90" s="1"/>
    </row>
    <row r="91" spans="1:9" x14ac:dyDescent="0.3">
      <c r="A91" t="s">
        <v>7</v>
      </c>
      <c r="B91" t="s">
        <v>20</v>
      </c>
      <c r="C91">
        <v>291453</v>
      </c>
      <c r="D91" s="3"/>
      <c r="I91" s="1"/>
    </row>
    <row r="92" spans="1:9" x14ac:dyDescent="0.3">
      <c r="A92" t="s">
        <v>7</v>
      </c>
      <c r="B92" t="s">
        <v>21</v>
      </c>
      <c r="C92">
        <v>336416</v>
      </c>
      <c r="D92" s="3"/>
      <c r="I92" s="1"/>
    </row>
    <row r="93" spans="1:9" x14ac:dyDescent="0.3">
      <c r="A93" t="s">
        <v>7</v>
      </c>
      <c r="B93" t="s">
        <v>22</v>
      </c>
      <c r="C93">
        <v>102661</v>
      </c>
      <c r="D93" s="3"/>
      <c r="I93" s="1"/>
    </row>
    <row r="94" spans="1:9" x14ac:dyDescent="0.3">
      <c r="A94" t="s">
        <v>7</v>
      </c>
      <c r="B94" t="s">
        <v>23</v>
      </c>
      <c r="C94">
        <v>121176</v>
      </c>
      <c r="D94" s="3"/>
      <c r="I94" s="1"/>
    </row>
    <row r="95" spans="1:9" x14ac:dyDescent="0.3">
      <c r="A95" t="s">
        <v>7</v>
      </c>
      <c r="B95" t="s">
        <v>24</v>
      </c>
      <c r="C95">
        <v>312716</v>
      </c>
      <c r="D95" s="3"/>
      <c r="I95" s="1"/>
    </row>
    <row r="96" spans="1:9" x14ac:dyDescent="0.3">
      <c r="A96" t="s">
        <v>7</v>
      </c>
      <c r="B96" t="s">
        <v>25</v>
      </c>
      <c r="C96">
        <v>257161</v>
      </c>
      <c r="D96" s="3"/>
      <c r="I96" s="1"/>
    </row>
    <row r="97" spans="1:9" x14ac:dyDescent="0.3">
      <c r="A97" t="s">
        <v>7</v>
      </c>
      <c r="B97" t="s">
        <v>26</v>
      </c>
      <c r="C97">
        <v>277456</v>
      </c>
      <c r="D97" s="3"/>
      <c r="I97" s="1"/>
    </row>
    <row r="98" spans="1:9" x14ac:dyDescent="0.3">
      <c r="A98" t="s">
        <v>8</v>
      </c>
      <c r="B98" t="s">
        <v>15</v>
      </c>
      <c r="C98">
        <v>81185</v>
      </c>
      <c r="D98" s="3"/>
      <c r="I98" s="1"/>
    </row>
    <row r="99" spans="1:9" x14ac:dyDescent="0.3">
      <c r="A99" t="s">
        <v>8</v>
      </c>
      <c r="B99" t="s">
        <v>16</v>
      </c>
      <c r="C99">
        <v>341102</v>
      </c>
      <c r="D99" s="3"/>
      <c r="I99" s="1"/>
    </row>
    <row r="100" spans="1:9" x14ac:dyDescent="0.3">
      <c r="A100" t="s">
        <v>8</v>
      </c>
      <c r="B100" t="s">
        <v>17</v>
      </c>
      <c r="C100">
        <v>121075</v>
      </c>
      <c r="D100" s="3"/>
      <c r="I100" s="1"/>
    </row>
    <row r="101" spans="1:9" x14ac:dyDescent="0.3">
      <c r="A101" t="s">
        <v>8</v>
      </c>
      <c r="B101" t="s">
        <v>18</v>
      </c>
      <c r="C101">
        <v>202454</v>
      </c>
      <c r="D101" s="3"/>
      <c r="I101" s="1"/>
    </row>
    <row r="102" spans="1:9" x14ac:dyDescent="0.3">
      <c r="A102" t="s">
        <v>8</v>
      </c>
      <c r="B102" t="s">
        <v>19</v>
      </c>
      <c r="C102">
        <v>146388</v>
      </c>
      <c r="D102" s="3"/>
      <c r="I102" s="1"/>
    </row>
    <row r="103" spans="1:9" x14ac:dyDescent="0.3">
      <c r="A103" t="s">
        <v>8</v>
      </c>
      <c r="B103" t="s">
        <v>20</v>
      </c>
      <c r="C103">
        <v>97720</v>
      </c>
      <c r="D103" s="3"/>
      <c r="I103" s="1"/>
    </row>
    <row r="104" spans="1:9" x14ac:dyDescent="0.3">
      <c r="A104" t="s">
        <v>8</v>
      </c>
      <c r="B104" t="s">
        <v>21</v>
      </c>
      <c r="C104">
        <v>149696</v>
      </c>
      <c r="D104" s="3"/>
      <c r="I104" s="1"/>
    </row>
    <row r="105" spans="1:9" x14ac:dyDescent="0.3">
      <c r="A105" t="s">
        <v>8</v>
      </c>
      <c r="B105" t="s">
        <v>22</v>
      </c>
      <c r="C105">
        <v>182888</v>
      </c>
      <c r="D105" s="3"/>
      <c r="I105" s="1"/>
    </row>
    <row r="106" spans="1:9" x14ac:dyDescent="0.3">
      <c r="A106" t="s">
        <v>8</v>
      </c>
      <c r="B106" t="s">
        <v>23</v>
      </c>
      <c r="C106">
        <v>213898</v>
      </c>
      <c r="D106" s="3"/>
      <c r="I106" s="1"/>
    </row>
    <row r="107" spans="1:9" x14ac:dyDescent="0.3">
      <c r="A107" t="s">
        <v>8</v>
      </c>
      <c r="B107" t="s">
        <v>24</v>
      </c>
      <c r="C107">
        <v>343984</v>
      </c>
      <c r="D107" s="3"/>
      <c r="I107" s="1"/>
    </row>
    <row r="108" spans="1:9" x14ac:dyDescent="0.3">
      <c r="A108" t="s">
        <v>8</v>
      </c>
      <c r="B108" t="s">
        <v>25</v>
      </c>
      <c r="C108">
        <v>132500</v>
      </c>
      <c r="D108" s="3"/>
      <c r="I108" s="1"/>
    </row>
    <row r="109" spans="1:9" x14ac:dyDescent="0.3">
      <c r="A109" t="s">
        <v>8</v>
      </c>
      <c r="B109" t="s">
        <v>26</v>
      </c>
      <c r="C109">
        <v>166989</v>
      </c>
      <c r="D109" s="3"/>
      <c r="I109" s="1"/>
    </row>
    <row r="110" spans="1:9" x14ac:dyDescent="0.3">
      <c r="A110" t="s">
        <v>9</v>
      </c>
      <c r="B110" t="s">
        <v>15</v>
      </c>
      <c r="C110">
        <v>97732</v>
      </c>
      <c r="D110" s="3"/>
      <c r="I110" s="1"/>
    </row>
    <row r="111" spans="1:9" x14ac:dyDescent="0.3">
      <c r="A111" t="s">
        <v>9</v>
      </c>
      <c r="B111" t="s">
        <v>16</v>
      </c>
      <c r="C111">
        <v>386748</v>
      </c>
      <c r="D111" s="3"/>
      <c r="I111" s="1"/>
    </row>
    <row r="112" spans="1:9" x14ac:dyDescent="0.3">
      <c r="A112" t="s">
        <v>9</v>
      </c>
      <c r="B112" t="s">
        <v>17</v>
      </c>
      <c r="C112">
        <v>345310</v>
      </c>
      <c r="D112" s="3"/>
      <c r="I112" s="1"/>
    </row>
    <row r="113" spans="1:9" x14ac:dyDescent="0.3">
      <c r="A113" t="s">
        <v>9</v>
      </c>
      <c r="B113" t="s">
        <v>18</v>
      </c>
      <c r="C113">
        <v>434709</v>
      </c>
      <c r="D113" s="3"/>
      <c r="I113" s="1"/>
    </row>
    <row r="114" spans="1:9" x14ac:dyDescent="0.3">
      <c r="A114" t="s">
        <v>9</v>
      </c>
      <c r="B114" t="s">
        <v>19</v>
      </c>
      <c r="C114">
        <v>268069</v>
      </c>
      <c r="D114" s="3"/>
      <c r="I114" s="1"/>
    </row>
    <row r="115" spans="1:9" x14ac:dyDescent="0.3">
      <c r="A115" t="s">
        <v>9</v>
      </c>
      <c r="B115" t="s">
        <v>20</v>
      </c>
      <c r="C115">
        <v>235614</v>
      </c>
      <c r="D115" s="3"/>
      <c r="I115" s="1"/>
    </row>
    <row r="116" spans="1:9" x14ac:dyDescent="0.3">
      <c r="A116" t="s">
        <v>9</v>
      </c>
      <c r="B116" t="s">
        <v>21</v>
      </c>
      <c r="C116">
        <v>245717</v>
      </c>
      <c r="D116" s="3"/>
      <c r="I116" s="1"/>
    </row>
    <row r="117" spans="1:9" x14ac:dyDescent="0.3">
      <c r="A117" t="s">
        <v>9</v>
      </c>
      <c r="B117" t="s">
        <v>22</v>
      </c>
      <c r="C117">
        <v>94507</v>
      </c>
      <c r="D117" s="3"/>
      <c r="I117" s="1"/>
    </row>
    <row r="118" spans="1:9" x14ac:dyDescent="0.3">
      <c r="A118" t="s">
        <v>9</v>
      </c>
      <c r="B118" t="s">
        <v>23</v>
      </c>
      <c r="C118">
        <v>189734</v>
      </c>
      <c r="D118" s="3"/>
      <c r="I118" s="1"/>
    </row>
    <row r="119" spans="1:9" x14ac:dyDescent="0.3">
      <c r="A119" t="s">
        <v>9</v>
      </c>
      <c r="B119" t="s">
        <v>24</v>
      </c>
      <c r="C119">
        <v>347109</v>
      </c>
      <c r="D119" s="3"/>
      <c r="I119" s="1"/>
    </row>
    <row r="120" spans="1:9" x14ac:dyDescent="0.3">
      <c r="A120" t="s">
        <v>9</v>
      </c>
      <c r="B120" t="s">
        <v>25</v>
      </c>
      <c r="C120">
        <v>117257</v>
      </c>
      <c r="D120" s="3"/>
      <c r="I120" s="1"/>
    </row>
    <row r="121" spans="1:9" x14ac:dyDescent="0.3">
      <c r="A121" t="s">
        <v>9</v>
      </c>
      <c r="B121" t="s">
        <v>26</v>
      </c>
      <c r="C121">
        <v>172347</v>
      </c>
      <c r="D121" s="3"/>
      <c r="I121" s="1"/>
    </row>
    <row r="122" spans="1:9" x14ac:dyDescent="0.3">
      <c r="A122" t="s">
        <v>10</v>
      </c>
      <c r="B122" t="s">
        <v>15</v>
      </c>
      <c r="C122">
        <v>266985</v>
      </c>
      <c r="D122" s="3"/>
      <c r="I122" s="1"/>
    </row>
    <row r="123" spans="1:9" x14ac:dyDescent="0.3">
      <c r="A123" t="s">
        <v>10</v>
      </c>
      <c r="B123" t="s">
        <v>16</v>
      </c>
      <c r="C123">
        <v>402878</v>
      </c>
      <c r="D123" s="3"/>
      <c r="I123" s="1"/>
    </row>
    <row r="124" spans="1:9" x14ac:dyDescent="0.3">
      <c r="A124" t="s">
        <v>10</v>
      </c>
      <c r="B124" t="s">
        <v>17</v>
      </c>
      <c r="C124">
        <v>419484</v>
      </c>
      <c r="D124" s="3"/>
      <c r="I124" s="1"/>
    </row>
    <row r="125" spans="1:9" x14ac:dyDescent="0.3">
      <c r="A125" t="s">
        <v>10</v>
      </c>
      <c r="B125" t="s">
        <v>18</v>
      </c>
      <c r="C125">
        <v>258956</v>
      </c>
      <c r="D125" s="3"/>
      <c r="I125" s="1"/>
    </row>
    <row r="126" spans="1:9" x14ac:dyDescent="0.3">
      <c r="A126" t="s">
        <v>10</v>
      </c>
      <c r="B126" t="s">
        <v>19</v>
      </c>
      <c r="C126">
        <v>139290</v>
      </c>
      <c r="D126" s="3"/>
      <c r="I126" s="1"/>
    </row>
    <row r="127" spans="1:9" x14ac:dyDescent="0.3">
      <c r="A127" t="s">
        <v>10</v>
      </c>
      <c r="B127" t="s">
        <v>20</v>
      </c>
      <c r="C127">
        <v>233399</v>
      </c>
      <c r="D127" s="3"/>
      <c r="I127" s="1"/>
    </row>
    <row r="128" spans="1:9" x14ac:dyDescent="0.3">
      <c r="A128" t="s">
        <v>10</v>
      </c>
      <c r="B128" t="s">
        <v>21</v>
      </c>
      <c r="C128">
        <v>306471</v>
      </c>
      <c r="D128" s="3"/>
      <c r="I128" s="1"/>
    </row>
    <row r="129" spans="1:9" x14ac:dyDescent="0.3">
      <c r="A129" t="s">
        <v>10</v>
      </c>
      <c r="B129" t="s">
        <v>22</v>
      </c>
      <c r="C129">
        <v>219960</v>
      </c>
      <c r="D129" s="3"/>
      <c r="I129" s="1"/>
    </row>
    <row r="130" spans="1:9" x14ac:dyDescent="0.3">
      <c r="A130" t="s">
        <v>10</v>
      </c>
      <c r="B130" t="s">
        <v>23</v>
      </c>
      <c r="C130">
        <v>320262</v>
      </c>
      <c r="D130" s="3"/>
      <c r="I130" s="1"/>
    </row>
    <row r="131" spans="1:9" x14ac:dyDescent="0.3">
      <c r="A131" t="s">
        <v>10</v>
      </c>
      <c r="B131" t="s">
        <v>24</v>
      </c>
      <c r="C131">
        <v>414765</v>
      </c>
      <c r="D131" s="3"/>
      <c r="I131" s="1"/>
    </row>
    <row r="132" spans="1:9" x14ac:dyDescent="0.3">
      <c r="A132" t="s">
        <v>10</v>
      </c>
      <c r="B132" t="s">
        <v>25</v>
      </c>
      <c r="C132">
        <v>142373</v>
      </c>
      <c r="D132" s="3"/>
      <c r="I132" s="1"/>
    </row>
    <row r="133" spans="1:9" x14ac:dyDescent="0.3">
      <c r="A133" t="s">
        <v>10</v>
      </c>
      <c r="B133" t="s">
        <v>26</v>
      </c>
      <c r="C133">
        <v>392288</v>
      </c>
      <c r="D133" s="3"/>
      <c r="I133" s="1"/>
    </row>
    <row r="134" spans="1:9" x14ac:dyDescent="0.3">
      <c r="A134" t="s">
        <v>11</v>
      </c>
      <c r="B134" t="s">
        <v>15</v>
      </c>
      <c r="C134">
        <v>405055</v>
      </c>
      <c r="D134" s="3"/>
      <c r="I134" s="1"/>
    </row>
    <row r="135" spans="1:9" x14ac:dyDescent="0.3">
      <c r="A135" t="s">
        <v>11</v>
      </c>
      <c r="B135" t="s">
        <v>16</v>
      </c>
      <c r="C135">
        <v>224957</v>
      </c>
      <c r="D135" s="3"/>
      <c r="I135" s="1"/>
    </row>
    <row r="136" spans="1:9" x14ac:dyDescent="0.3">
      <c r="A136" t="s">
        <v>11</v>
      </c>
      <c r="B136" t="s">
        <v>17</v>
      </c>
      <c r="C136">
        <v>295515</v>
      </c>
      <c r="D136" s="3"/>
      <c r="I136" s="1"/>
    </row>
    <row r="137" spans="1:9" x14ac:dyDescent="0.3">
      <c r="A137" t="s">
        <v>11</v>
      </c>
      <c r="B137" t="s">
        <v>18</v>
      </c>
      <c r="C137">
        <v>433233</v>
      </c>
      <c r="D137" s="3"/>
      <c r="I137" s="1"/>
    </row>
    <row r="138" spans="1:9" x14ac:dyDescent="0.3">
      <c r="A138" t="s">
        <v>11</v>
      </c>
      <c r="B138" t="s">
        <v>19</v>
      </c>
      <c r="C138">
        <v>137530</v>
      </c>
      <c r="D138" s="3"/>
      <c r="I138" s="1"/>
    </row>
    <row r="139" spans="1:9" x14ac:dyDescent="0.3">
      <c r="A139" t="s">
        <v>11</v>
      </c>
      <c r="B139" t="s">
        <v>20</v>
      </c>
      <c r="C139">
        <v>238375</v>
      </c>
      <c r="D139" s="3"/>
      <c r="I139" s="1"/>
    </row>
    <row r="140" spans="1:9" x14ac:dyDescent="0.3">
      <c r="A140" t="s">
        <v>11</v>
      </c>
      <c r="B140" t="s">
        <v>21</v>
      </c>
      <c r="C140">
        <v>115041</v>
      </c>
      <c r="D140" s="3"/>
      <c r="I140" s="1"/>
    </row>
    <row r="141" spans="1:9" x14ac:dyDescent="0.3">
      <c r="A141" t="s">
        <v>11</v>
      </c>
      <c r="B141" t="s">
        <v>22</v>
      </c>
      <c r="C141">
        <v>190502</v>
      </c>
      <c r="D141" s="3"/>
      <c r="I141" s="1"/>
    </row>
    <row r="142" spans="1:9" x14ac:dyDescent="0.3">
      <c r="A142" t="s">
        <v>11</v>
      </c>
      <c r="B142" t="s">
        <v>23</v>
      </c>
      <c r="C142">
        <v>127586</v>
      </c>
      <c r="D142" s="3"/>
      <c r="I142" s="1"/>
    </row>
    <row r="143" spans="1:9" x14ac:dyDescent="0.3">
      <c r="A143" t="s">
        <v>11</v>
      </c>
      <c r="B143" t="s">
        <v>24</v>
      </c>
      <c r="C143">
        <v>405997</v>
      </c>
      <c r="D143" s="3"/>
      <c r="I143" s="1"/>
    </row>
    <row r="144" spans="1:9" x14ac:dyDescent="0.3">
      <c r="A144" t="s">
        <v>11</v>
      </c>
      <c r="B144" t="s">
        <v>25</v>
      </c>
      <c r="C144">
        <v>135440</v>
      </c>
      <c r="D144" s="3"/>
      <c r="I144" s="1"/>
    </row>
    <row r="145" spans="1:9" x14ac:dyDescent="0.3">
      <c r="A145" t="s">
        <v>11</v>
      </c>
      <c r="B145" t="s">
        <v>26</v>
      </c>
      <c r="C145">
        <v>410043</v>
      </c>
      <c r="D145" s="3"/>
      <c r="I145" s="1"/>
    </row>
    <row r="146" spans="1:9" x14ac:dyDescent="0.3">
      <c r="A146" t="s">
        <v>12</v>
      </c>
      <c r="B146" t="s">
        <v>15</v>
      </c>
      <c r="C146">
        <v>172673</v>
      </c>
      <c r="D146" s="3"/>
      <c r="I146" s="1"/>
    </row>
    <row r="147" spans="1:9" x14ac:dyDescent="0.3">
      <c r="A147" t="s">
        <v>12</v>
      </c>
      <c r="B147" t="s">
        <v>16</v>
      </c>
      <c r="C147">
        <v>221345</v>
      </c>
      <c r="D147" s="3"/>
      <c r="I147" s="1"/>
    </row>
    <row r="148" spans="1:9" x14ac:dyDescent="0.3">
      <c r="A148" t="s">
        <v>12</v>
      </c>
      <c r="B148" t="s">
        <v>17</v>
      </c>
      <c r="C148">
        <v>366552</v>
      </c>
      <c r="D148" s="3"/>
      <c r="I148" s="1"/>
    </row>
    <row r="149" spans="1:9" x14ac:dyDescent="0.3">
      <c r="A149" t="s">
        <v>12</v>
      </c>
      <c r="B149" t="s">
        <v>18</v>
      </c>
      <c r="C149">
        <v>395538</v>
      </c>
      <c r="D149" s="3"/>
      <c r="I149" s="1"/>
    </row>
    <row r="150" spans="1:9" x14ac:dyDescent="0.3">
      <c r="A150" t="s">
        <v>12</v>
      </c>
      <c r="B150" t="s">
        <v>19</v>
      </c>
      <c r="C150">
        <v>100676</v>
      </c>
      <c r="D150" s="3"/>
      <c r="I150" s="1"/>
    </row>
    <row r="151" spans="1:9" x14ac:dyDescent="0.3">
      <c r="A151" t="s">
        <v>12</v>
      </c>
      <c r="B151" t="s">
        <v>20</v>
      </c>
      <c r="C151">
        <v>228716</v>
      </c>
      <c r="D151" s="3"/>
      <c r="I151" s="1"/>
    </row>
    <row r="152" spans="1:9" x14ac:dyDescent="0.3">
      <c r="A152" t="s">
        <v>12</v>
      </c>
      <c r="B152" t="s">
        <v>21</v>
      </c>
      <c r="C152">
        <v>395172</v>
      </c>
      <c r="D152" s="3"/>
      <c r="I152" s="1"/>
    </row>
    <row r="153" spans="1:9" x14ac:dyDescent="0.3">
      <c r="A153" t="s">
        <v>12</v>
      </c>
      <c r="B153" t="s">
        <v>22</v>
      </c>
      <c r="C153">
        <v>236675</v>
      </c>
      <c r="D153" s="3"/>
      <c r="I153" s="1"/>
    </row>
    <row r="154" spans="1:9" x14ac:dyDescent="0.3">
      <c r="A154" t="s">
        <v>12</v>
      </c>
      <c r="B154" t="s">
        <v>23</v>
      </c>
      <c r="C154">
        <v>291405</v>
      </c>
      <c r="D154" s="3"/>
      <c r="I154" s="1"/>
    </row>
    <row r="155" spans="1:9" x14ac:dyDescent="0.3">
      <c r="A155" t="s">
        <v>12</v>
      </c>
      <c r="B155" t="s">
        <v>24</v>
      </c>
      <c r="C155">
        <v>315821</v>
      </c>
      <c r="D155" s="3"/>
      <c r="I155" s="1"/>
    </row>
    <row r="156" spans="1:9" x14ac:dyDescent="0.3">
      <c r="A156" t="s">
        <v>12</v>
      </c>
      <c r="B156" t="s">
        <v>25</v>
      </c>
      <c r="C156">
        <v>247098</v>
      </c>
      <c r="D156" s="3"/>
      <c r="I156" s="1"/>
    </row>
    <row r="157" spans="1:9" x14ac:dyDescent="0.3">
      <c r="A157" t="s">
        <v>12</v>
      </c>
      <c r="B157" t="s">
        <v>26</v>
      </c>
      <c r="C157">
        <v>307127</v>
      </c>
      <c r="D157" s="3"/>
      <c r="I157" s="1"/>
    </row>
    <row r="158" spans="1:9" x14ac:dyDescent="0.3">
      <c r="A158" t="s">
        <v>13</v>
      </c>
      <c r="B158" t="s">
        <v>15</v>
      </c>
      <c r="C158">
        <v>374217</v>
      </c>
      <c r="D158" s="3"/>
      <c r="I158" s="1"/>
    </row>
    <row r="159" spans="1:9" x14ac:dyDescent="0.3">
      <c r="A159" t="s">
        <v>13</v>
      </c>
      <c r="B159" t="s">
        <v>16</v>
      </c>
      <c r="C159">
        <v>380686</v>
      </c>
      <c r="D159" s="3"/>
      <c r="I159" s="1"/>
    </row>
    <row r="160" spans="1:9" x14ac:dyDescent="0.3">
      <c r="A160" t="s">
        <v>13</v>
      </c>
      <c r="B160" t="s">
        <v>17</v>
      </c>
      <c r="C160">
        <v>400867</v>
      </c>
      <c r="D160" s="3"/>
      <c r="I160" s="1"/>
    </row>
    <row r="161" spans="1:9" x14ac:dyDescent="0.3">
      <c r="A161" t="s">
        <v>13</v>
      </c>
      <c r="B161" t="s">
        <v>18</v>
      </c>
      <c r="C161">
        <v>149088</v>
      </c>
      <c r="D161" s="3"/>
      <c r="I161" s="1"/>
    </row>
    <row r="162" spans="1:9" x14ac:dyDescent="0.3">
      <c r="A162" t="s">
        <v>13</v>
      </c>
      <c r="B162" t="s">
        <v>19</v>
      </c>
      <c r="C162">
        <v>428474</v>
      </c>
      <c r="D162" s="3"/>
      <c r="I162" s="1"/>
    </row>
    <row r="163" spans="1:9" x14ac:dyDescent="0.3">
      <c r="A163" t="s">
        <v>13</v>
      </c>
      <c r="B163" t="s">
        <v>20</v>
      </c>
      <c r="C163">
        <v>200587</v>
      </c>
      <c r="D163" s="3"/>
      <c r="I163" s="1"/>
    </row>
    <row r="164" spans="1:9" x14ac:dyDescent="0.3">
      <c r="A164" t="s">
        <v>13</v>
      </c>
      <c r="B164" t="s">
        <v>21</v>
      </c>
      <c r="C164">
        <v>219746</v>
      </c>
      <c r="D164" s="3"/>
      <c r="I164" s="1"/>
    </row>
    <row r="165" spans="1:9" x14ac:dyDescent="0.3">
      <c r="A165" t="s">
        <v>13</v>
      </c>
      <c r="B165" t="s">
        <v>22</v>
      </c>
      <c r="C165">
        <v>446638</v>
      </c>
      <c r="D165" s="3"/>
      <c r="I165" s="1"/>
    </row>
    <row r="166" spans="1:9" x14ac:dyDescent="0.3">
      <c r="A166" t="s">
        <v>13</v>
      </c>
      <c r="B166" t="s">
        <v>23</v>
      </c>
      <c r="C166">
        <v>182828</v>
      </c>
      <c r="D166" s="3"/>
      <c r="I166" s="1"/>
    </row>
    <row r="167" spans="1:9" x14ac:dyDescent="0.3">
      <c r="A167" t="s">
        <v>13</v>
      </c>
      <c r="B167" t="s">
        <v>24</v>
      </c>
      <c r="C167">
        <v>294780</v>
      </c>
      <c r="D167" s="3"/>
      <c r="I167" s="1"/>
    </row>
    <row r="168" spans="1:9" x14ac:dyDescent="0.3">
      <c r="A168" t="s">
        <v>13</v>
      </c>
      <c r="B168" t="s">
        <v>25</v>
      </c>
      <c r="C168">
        <v>445567</v>
      </c>
      <c r="D168" s="3"/>
      <c r="I168" s="1"/>
    </row>
    <row r="169" spans="1:9" x14ac:dyDescent="0.3">
      <c r="A169" t="s">
        <v>13</v>
      </c>
      <c r="B169" t="s">
        <v>26</v>
      </c>
      <c r="C169">
        <v>347731</v>
      </c>
      <c r="D169" s="3"/>
      <c r="I169" s="1"/>
    </row>
    <row r="170" spans="1:9" x14ac:dyDescent="0.3">
      <c r="A170" t="s">
        <v>14</v>
      </c>
      <c r="B170" t="s">
        <v>15</v>
      </c>
      <c r="C170">
        <v>218460</v>
      </c>
      <c r="D170" s="3"/>
      <c r="I170" s="1"/>
    </row>
    <row r="171" spans="1:9" x14ac:dyDescent="0.3">
      <c r="A171" t="s">
        <v>14</v>
      </c>
      <c r="B171" t="s">
        <v>16</v>
      </c>
      <c r="C171">
        <v>438266</v>
      </c>
      <c r="D171" s="3"/>
      <c r="I171" s="1"/>
    </row>
    <row r="172" spans="1:9" x14ac:dyDescent="0.3">
      <c r="A172" t="s">
        <v>14</v>
      </c>
      <c r="B172" t="s">
        <v>17</v>
      </c>
      <c r="C172">
        <v>242035</v>
      </c>
      <c r="D172" s="3"/>
      <c r="I172" s="1"/>
    </row>
    <row r="173" spans="1:9" x14ac:dyDescent="0.3">
      <c r="A173" t="s">
        <v>14</v>
      </c>
      <c r="B173" t="s">
        <v>18</v>
      </c>
      <c r="C173">
        <v>307314</v>
      </c>
      <c r="D173" s="3"/>
      <c r="I173" s="1"/>
    </row>
    <row r="174" spans="1:9" x14ac:dyDescent="0.3">
      <c r="A174" t="s">
        <v>14</v>
      </c>
      <c r="B174" t="s">
        <v>19</v>
      </c>
      <c r="C174">
        <v>358031</v>
      </c>
      <c r="D174" s="3"/>
      <c r="I174" s="1"/>
    </row>
    <row r="175" spans="1:9" x14ac:dyDescent="0.3">
      <c r="A175" t="s">
        <v>14</v>
      </c>
      <c r="B175" t="s">
        <v>20</v>
      </c>
      <c r="C175">
        <v>248449</v>
      </c>
      <c r="D175" s="3"/>
      <c r="I175" s="1"/>
    </row>
    <row r="176" spans="1:9" x14ac:dyDescent="0.3">
      <c r="A176" t="s">
        <v>14</v>
      </c>
      <c r="B176" t="s">
        <v>21</v>
      </c>
      <c r="C176">
        <v>389842</v>
      </c>
      <c r="D176" s="3"/>
      <c r="I176" s="1"/>
    </row>
    <row r="177" spans="1:9" x14ac:dyDescent="0.3">
      <c r="A177" t="s">
        <v>14</v>
      </c>
      <c r="B177" t="s">
        <v>22</v>
      </c>
      <c r="C177">
        <v>371124</v>
      </c>
      <c r="D177" s="3"/>
      <c r="I177" s="1"/>
    </row>
    <row r="178" spans="1:9" x14ac:dyDescent="0.3">
      <c r="A178" t="s">
        <v>14</v>
      </c>
      <c r="B178" t="s">
        <v>23</v>
      </c>
      <c r="C178">
        <v>321550</v>
      </c>
      <c r="D178" s="3"/>
      <c r="I178" s="1"/>
    </row>
    <row r="179" spans="1:9" x14ac:dyDescent="0.3">
      <c r="A179" t="s">
        <v>14</v>
      </c>
      <c r="B179" t="s">
        <v>24</v>
      </c>
      <c r="C179">
        <v>356771</v>
      </c>
      <c r="D179" s="3"/>
      <c r="I179" s="1"/>
    </row>
    <row r="180" spans="1:9" x14ac:dyDescent="0.3">
      <c r="A180" t="s">
        <v>14</v>
      </c>
      <c r="B180" t="s">
        <v>25</v>
      </c>
      <c r="C180">
        <v>184296</v>
      </c>
      <c r="D180" s="3"/>
      <c r="I180" s="1"/>
    </row>
    <row r="181" spans="1:9" x14ac:dyDescent="0.3">
      <c r="A181" t="s">
        <v>14</v>
      </c>
      <c r="B181" t="s">
        <v>26</v>
      </c>
      <c r="C181">
        <v>417509</v>
      </c>
      <c r="D181" s="3"/>
      <c r="I181" s="1"/>
    </row>
    <row r="182" spans="1:9" x14ac:dyDescent="0.3">
      <c r="D182" s="4"/>
    </row>
    <row r="183" spans="1:9" x14ac:dyDescent="0.3">
      <c r="D183" s="4"/>
    </row>
    <row r="184" spans="1:9" x14ac:dyDescent="0.3">
      <c r="D184" s="4"/>
    </row>
    <row r="185" spans="1:9" x14ac:dyDescent="0.3">
      <c r="D185" s="4"/>
    </row>
    <row r="186" spans="1:9" x14ac:dyDescent="0.3">
      <c r="D186" s="4"/>
    </row>
    <row r="187" spans="1:9" x14ac:dyDescent="0.3">
      <c r="D187" s="4"/>
    </row>
    <row r="188" spans="1:9" x14ac:dyDescent="0.3">
      <c r="D188" s="4"/>
    </row>
    <row r="189" spans="1:9" x14ac:dyDescent="0.3">
      <c r="D189" s="4"/>
    </row>
    <row r="190" spans="1:9" x14ac:dyDescent="0.3">
      <c r="D190" s="4"/>
    </row>
    <row r="191" spans="1:9" x14ac:dyDescent="0.3">
      <c r="D191" s="4"/>
    </row>
    <row r="192" spans="1:9" x14ac:dyDescent="0.3">
      <c r="D192" s="4"/>
    </row>
    <row r="193" spans="4:4" x14ac:dyDescent="0.3">
      <c r="D193" s="4"/>
    </row>
    <row r="194" spans="4:4" x14ac:dyDescent="0.3">
      <c r="D194" s="4"/>
    </row>
    <row r="195" spans="4:4" x14ac:dyDescent="0.3">
      <c r="D195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2826-1463-4FA1-BD08-BE0CD2D539BB}">
  <dimension ref="A1:I195"/>
  <sheetViews>
    <sheetView workbookViewId="0">
      <selection sqref="A1:E181"/>
    </sheetView>
  </sheetViews>
  <sheetFormatPr defaultRowHeight="14.4" x14ac:dyDescent="0.3"/>
  <cols>
    <col min="1" max="1" width="25.33203125" customWidth="1"/>
    <col min="2" max="2" width="22" customWidth="1"/>
    <col min="3" max="3" width="22.5546875" customWidth="1"/>
    <col min="4" max="4" width="21.77734375" customWidth="1"/>
    <col min="5" max="5" width="21" customWidth="1"/>
    <col min="6" max="6" width="13.5546875" customWidth="1"/>
  </cols>
  <sheetData>
    <row r="1" spans="1:9" x14ac:dyDescent="0.3">
      <c r="A1" s="1" t="s">
        <v>28</v>
      </c>
      <c r="B1" s="1" t="s">
        <v>27</v>
      </c>
      <c r="C1" t="s">
        <v>30</v>
      </c>
      <c r="D1" s="3" t="s">
        <v>31</v>
      </c>
      <c r="E1" t="s">
        <v>32</v>
      </c>
    </row>
    <row r="2" spans="1:9" x14ac:dyDescent="0.3">
      <c r="A2" s="2" t="s">
        <v>0</v>
      </c>
      <c r="B2" s="2" t="s">
        <v>15</v>
      </c>
      <c r="C2">
        <v>259375</v>
      </c>
      <c r="D2" s="3">
        <v>4.7E-2</v>
      </c>
      <c r="E2" t="s">
        <v>33</v>
      </c>
      <c r="I2" s="1"/>
    </row>
    <row r="3" spans="1:9" x14ac:dyDescent="0.3">
      <c r="A3" s="2" t="s">
        <v>0</v>
      </c>
      <c r="B3" s="2" t="s">
        <v>16</v>
      </c>
      <c r="C3">
        <v>300602</v>
      </c>
      <c r="D3" s="3">
        <v>0.05</v>
      </c>
      <c r="E3" t="s">
        <v>33</v>
      </c>
      <c r="I3" s="1"/>
    </row>
    <row r="4" spans="1:9" x14ac:dyDescent="0.3">
      <c r="A4" s="2" t="s">
        <v>0</v>
      </c>
      <c r="B4" s="2" t="s">
        <v>17</v>
      </c>
      <c r="C4">
        <v>127560</v>
      </c>
      <c r="D4" s="3">
        <v>5.6000000000000001E-2</v>
      </c>
      <c r="E4" t="s">
        <v>33</v>
      </c>
      <c r="I4" s="1"/>
    </row>
    <row r="5" spans="1:9" x14ac:dyDescent="0.3">
      <c r="A5" s="2" t="s">
        <v>0</v>
      </c>
      <c r="B5" s="2" t="s">
        <v>18</v>
      </c>
      <c r="C5">
        <v>397252</v>
      </c>
      <c r="D5" s="3">
        <v>5.5E-2</v>
      </c>
      <c r="E5" t="s">
        <v>33</v>
      </c>
      <c r="I5" s="1"/>
    </row>
    <row r="6" spans="1:9" x14ac:dyDescent="0.3">
      <c r="A6" s="2" t="s">
        <v>0</v>
      </c>
      <c r="B6" s="2" t="s">
        <v>19</v>
      </c>
      <c r="C6">
        <v>168695</v>
      </c>
      <c r="D6" s="3">
        <v>5.3999999999999999E-2</v>
      </c>
      <c r="E6" t="s">
        <v>33</v>
      </c>
      <c r="I6" s="1"/>
    </row>
    <row r="7" spans="1:9" x14ac:dyDescent="0.3">
      <c r="A7" s="2" t="s">
        <v>0</v>
      </c>
      <c r="B7" s="2" t="s">
        <v>20</v>
      </c>
      <c r="C7">
        <v>211350</v>
      </c>
      <c r="D7" s="3">
        <v>7.3999999999999996E-2</v>
      </c>
      <c r="E7" t="s">
        <v>33</v>
      </c>
      <c r="I7" s="1"/>
    </row>
    <row r="8" spans="1:9" x14ac:dyDescent="0.3">
      <c r="A8" s="2" t="s">
        <v>0</v>
      </c>
      <c r="B8" s="2" t="s">
        <v>21</v>
      </c>
      <c r="C8">
        <v>171534</v>
      </c>
      <c r="D8" s="3">
        <v>6.3E-2</v>
      </c>
      <c r="E8" t="s">
        <v>33</v>
      </c>
      <c r="I8" s="1"/>
    </row>
    <row r="9" spans="1:9" x14ac:dyDescent="0.3">
      <c r="A9" s="2" t="s">
        <v>0</v>
      </c>
      <c r="B9" s="2" t="s">
        <v>22</v>
      </c>
      <c r="C9">
        <v>151702</v>
      </c>
      <c r="D9" s="3">
        <v>6.8000000000000005E-2</v>
      </c>
      <c r="E9" t="s">
        <v>33</v>
      </c>
      <c r="I9" s="1"/>
    </row>
    <row r="10" spans="1:9" x14ac:dyDescent="0.3">
      <c r="A10" s="2" t="s">
        <v>0</v>
      </c>
      <c r="B10" s="2" t="s">
        <v>23</v>
      </c>
      <c r="C10">
        <v>354207</v>
      </c>
      <c r="D10" s="3">
        <v>4.8000000000000001E-2</v>
      </c>
      <c r="E10" t="s">
        <v>33</v>
      </c>
      <c r="I10" s="1"/>
    </row>
    <row r="11" spans="1:9" x14ac:dyDescent="0.3">
      <c r="A11" s="2" t="s">
        <v>0</v>
      </c>
      <c r="B11" s="2" t="s">
        <v>24</v>
      </c>
      <c r="C11">
        <v>330317</v>
      </c>
      <c r="D11" s="3">
        <v>7.2999999999999995E-2</v>
      </c>
      <c r="E11" t="s">
        <v>33</v>
      </c>
      <c r="I11" s="1"/>
    </row>
    <row r="12" spans="1:9" x14ac:dyDescent="0.3">
      <c r="A12" s="2" t="s">
        <v>0</v>
      </c>
      <c r="B12" s="2" t="s">
        <v>25</v>
      </c>
      <c r="C12">
        <v>404312</v>
      </c>
      <c r="D12" s="3">
        <v>5.5E-2</v>
      </c>
      <c r="E12" t="s">
        <v>33</v>
      </c>
      <c r="I12" s="1"/>
    </row>
    <row r="13" spans="1:9" x14ac:dyDescent="0.3">
      <c r="A13" s="2" t="s">
        <v>0</v>
      </c>
      <c r="B13" s="2" t="s">
        <v>26</v>
      </c>
      <c r="C13">
        <v>156566</v>
      </c>
      <c r="D13" s="3">
        <v>7.4999999999999997E-2</v>
      </c>
      <c r="E13" t="s">
        <v>33</v>
      </c>
      <c r="I13" s="1"/>
    </row>
    <row r="14" spans="1:9" x14ac:dyDescent="0.3">
      <c r="A14" s="2" t="s">
        <v>1</v>
      </c>
      <c r="B14" s="2" t="s">
        <v>15</v>
      </c>
      <c r="C14">
        <v>423447</v>
      </c>
      <c r="D14" s="3">
        <v>5.8999999999999997E-2</v>
      </c>
      <c r="E14" t="s">
        <v>33</v>
      </c>
      <c r="I14" s="1"/>
    </row>
    <row r="15" spans="1:9" x14ac:dyDescent="0.3">
      <c r="A15" s="2" t="s">
        <v>1</v>
      </c>
      <c r="B15" s="2" t="s">
        <v>16</v>
      </c>
      <c r="C15">
        <v>365962</v>
      </c>
      <c r="D15" s="3">
        <v>7.1999999999999995E-2</v>
      </c>
      <c r="E15" t="s">
        <v>33</v>
      </c>
      <c r="I15" s="1"/>
    </row>
    <row r="16" spans="1:9" x14ac:dyDescent="0.3">
      <c r="A16" s="2" t="s">
        <v>1</v>
      </c>
      <c r="B16" s="2" t="s">
        <v>17</v>
      </c>
      <c r="C16">
        <v>185857</v>
      </c>
      <c r="D16" s="3">
        <v>4.5999999999999999E-2</v>
      </c>
      <c r="E16" t="s">
        <v>33</v>
      </c>
      <c r="I16" s="1"/>
    </row>
    <row r="17" spans="1:9" x14ac:dyDescent="0.3">
      <c r="A17" s="2" t="s">
        <v>1</v>
      </c>
      <c r="B17" s="2" t="s">
        <v>18</v>
      </c>
      <c r="C17">
        <v>308437</v>
      </c>
      <c r="D17" s="3">
        <v>7.1999999999999995E-2</v>
      </c>
      <c r="E17" t="s">
        <v>33</v>
      </c>
      <c r="I17" s="1"/>
    </row>
    <row r="18" spans="1:9" x14ac:dyDescent="0.3">
      <c r="A18" s="2" t="s">
        <v>1</v>
      </c>
      <c r="B18" s="2" t="s">
        <v>19</v>
      </c>
      <c r="C18">
        <v>199746</v>
      </c>
      <c r="D18" s="3">
        <v>7.0000000000000007E-2</v>
      </c>
      <c r="E18" t="s">
        <v>33</v>
      </c>
      <c r="I18" s="1"/>
    </row>
    <row r="19" spans="1:9" x14ac:dyDescent="0.3">
      <c r="A19" s="2" t="s">
        <v>1</v>
      </c>
      <c r="B19" s="2" t="s">
        <v>20</v>
      </c>
      <c r="C19">
        <v>409834</v>
      </c>
      <c r="D19" s="3">
        <v>6.3E-2</v>
      </c>
      <c r="E19" t="s">
        <v>33</v>
      </c>
      <c r="I19" s="1"/>
    </row>
    <row r="20" spans="1:9" x14ac:dyDescent="0.3">
      <c r="A20" s="2" t="s">
        <v>1</v>
      </c>
      <c r="B20" s="2" t="s">
        <v>21</v>
      </c>
      <c r="C20">
        <v>147433</v>
      </c>
      <c r="D20" s="3">
        <v>5.2999999999999999E-2</v>
      </c>
      <c r="E20" t="s">
        <v>33</v>
      </c>
      <c r="I20" s="1"/>
    </row>
    <row r="21" spans="1:9" x14ac:dyDescent="0.3">
      <c r="A21" s="2" t="s">
        <v>1</v>
      </c>
      <c r="B21" s="2" t="s">
        <v>22</v>
      </c>
      <c r="C21">
        <v>349356</v>
      </c>
      <c r="D21" s="3">
        <v>0.05</v>
      </c>
      <c r="E21" t="s">
        <v>33</v>
      </c>
      <c r="I21" s="1"/>
    </row>
    <row r="22" spans="1:9" x14ac:dyDescent="0.3">
      <c r="A22" s="2" t="s">
        <v>1</v>
      </c>
      <c r="B22" s="2" t="s">
        <v>23</v>
      </c>
      <c r="C22">
        <v>117336</v>
      </c>
      <c r="D22" s="3">
        <v>7.2999999999999995E-2</v>
      </c>
      <c r="E22" t="s">
        <v>33</v>
      </c>
      <c r="I22" s="1"/>
    </row>
    <row r="23" spans="1:9" x14ac:dyDescent="0.3">
      <c r="A23" s="2" t="s">
        <v>1</v>
      </c>
      <c r="B23" s="2" t="s">
        <v>24</v>
      </c>
      <c r="C23">
        <v>102942</v>
      </c>
      <c r="D23" s="3">
        <v>5.0999999999999997E-2</v>
      </c>
      <c r="E23" t="s">
        <v>33</v>
      </c>
      <c r="I23" s="1"/>
    </row>
    <row r="24" spans="1:9" x14ac:dyDescent="0.3">
      <c r="A24" s="2" t="s">
        <v>1</v>
      </c>
      <c r="B24" s="2" t="s">
        <v>25</v>
      </c>
      <c r="C24">
        <v>245348</v>
      </c>
      <c r="D24" s="3">
        <v>5.6000000000000001E-2</v>
      </c>
      <c r="E24" t="s">
        <v>33</v>
      </c>
      <c r="I24" s="1"/>
    </row>
    <row r="25" spans="1:9" x14ac:dyDescent="0.3">
      <c r="A25" s="2" t="s">
        <v>1</v>
      </c>
      <c r="B25" s="2" t="s">
        <v>26</v>
      </c>
      <c r="C25">
        <v>377888</v>
      </c>
      <c r="D25" s="3">
        <v>4.8000000000000001E-2</v>
      </c>
      <c r="E25" t="s">
        <v>33</v>
      </c>
      <c r="I25" s="1"/>
    </row>
    <row r="26" spans="1:9" x14ac:dyDescent="0.3">
      <c r="A26" t="s">
        <v>2</v>
      </c>
      <c r="B26" t="s">
        <v>15</v>
      </c>
      <c r="C26">
        <v>115003</v>
      </c>
      <c r="D26" s="3">
        <v>6.3E-2</v>
      </c>
      <c r="E26" t="s">
        <v>33</v>
      </c>
      <c r="I26" s="1"/>
    </row>
    <row r="27" spans="1:9" x14ac:dyDescent="0.3">
      <c r="A27" t="s">
        <v>2</v>
      </c>
      <c r="B27" t="s">
        <v>16</v>
      </c>
      <c r="C27">
        <v>111798</v>
      </c>
      <c r="D27" s="3">
        <v>6.2E-2</v>
      </c>
      <c r="E27" t="s">
        <v>33</v>
      </c>
      <c r="I27" s="1"/>
    </row>
    <row r="28" spans="1:9" x14ac:dyDescent="0.3">
      <c r="A28" t="s">
        <v>2</v>
      </c>
      <c r="B28" t="s">
        <v>17</v>
      </c>
      <c r="C28">
        <v>284975</v>
      </c>
      <c r="D28" s="3">
        <v>7.0000000000000007E-2</v>
      </c>
      <c r="E28" t="s">
        <v>33</v>
      </c>
      <c r="I28" s="1"/>
    </row>
    <row r="29" spans="1:9" x14ac:dyDescent="0.3">
      <c r="A29" t="s">
        <v>2</v>
      </c>
      <c r="B29" t="s">
        <v>18</v>
      </c>
      <c r="C29">
        <v>151657</v>
      </c>
      <c r="D29" s="3">
        <v>7.4999999999999997E-2</v>
      </c>
      <c r="E29" t="s">
        <v>33</v>
      </c>
      <c r="I29" s="1"/>
    </row>
    <row r="30" spans="1:9" x14ac:dyDescent="0.3">
      <c r="A30" t="s">
        <v>2</v>
      </c>
      <c r="B30" t="s">
        <v>19</v>
      </c>
      <c r="C30">
        <v>438100</v>
      </c>
      <c r="D30" s="3">
        <v>4.4999999999999998E-2</v>
      </c>
      <c r="E30" t="s">
        <v>33</v>
      </c>
      <c r="I30" s="1"/>
    </row>
    <row r="31" spans="1:9" x14ac:dyDescent="0.3">
      <c r="A31" t="s">
        <v>2</v>
      </c>
      <c r="B31" t="s">
        <v>20</v>
      </c>
      <c r="C31">
        <v>352043</v>
      </c>
      <c r="D31" s="3">
        <v>5.3999999999999999E-2</v>
      </c>
      <c r="E31" t="s">
        <v>33</v>
      </c>
      <c r="I31" s="1"/>
    </row>
    <row r="32" spans="1:9" x14ac:dyDescent="0.3">
      <c r="A32" t="s">
        <v>2</v>
      </c>
      <c r="B32" t="s">
        <v>21</v>
      </c>
      <c r="C32">
        <v>188075</v>
      </c>
      <c r="D32" s="3">
        <v>5.3999999999999999E-2</v>
      </c>
      <c r="E32" t="s">
        <v>33</v>
      </c>
      <c r="I32" s="1"/>
    </row>
    <row r="33" spans="1:9" x14ac:dyDescent="0.3">
      <c r="A33" t="s">
        <v>2</v>
      </c>
      <c r="B33" t="s">
        <v>22</v>
      </c>
      <c r="C33">
        <v>326193</v>
      </c>
      <c r="D33" s="3">
        <v>7.0000000000000007E-2</v>
      </c>
      <c r="E33" t="s">
        <v>33</v>
      </c>
      <c r="I33" s="1"/>
    </row>
    <row r="34" spans="1:9" x14ac:dyDescent="0.3">
      <c r="A34" t="s">
        <v>2</v>
      </c>
      <c r="B34" t="s">
        <v>23</v>
      </c>
      <c r="C34">
        <v>92748</v>
      </c>
      <c r="D34" s="3">
        <v>6.3E-2</v>
      </c>
      <c r="E34" t="s">
        <v>33</v>
      </c>
      <c r="I34" s="1"/>
    </row>
    <row r="35" spans="1:9" x14ac:dyDescent="0.3">
      <c r="A35" t="s">
        <v>2</v>
      </c>
      <c r="B35" t="s">
        <v>24</v>
      </c>
      <c r="C35">
        <v>300736</v>
      </c>
      <c r="D35" s="3">
        <v>6.2E-2</v>
      </c>
      <c r="E35" t="s">
        <v>33</v>
      </c>
      <c r="I35" s="1"/>
    </row>
    <row r="36" spans="1:9" x14ac:dyDescent="0.3">
      <c r="A36" t="s">
        <v>2</v>
      </c>
      <c r="B36" t="s">
        <v>25</v>
      </c>
      <c r="C36">
        <v>326999</v>
      </c>
      <c r="D36" s="3">
        <v>6.0999999999999999E-2</v>
      </c>
      <c r="E36" t="s">
        <v>33</v>
      </c>
      <c r="I36" s="1"/>
    </row>
    <row r="37" spans="1:9" x14ac:dyDescent="0.3">
      <c r="A37" t="s">
        <v>2</v>
      </c>
      <c r="B37" t="s">
        <v>26</v>
      </c>
      <c r="C37">
        <v>413933</v>
      </c>
      <c r="D37" s="3">
        <v>7.3999999999999996E-2</v>
      </c>
      <c r="E37" t="s">
        <v>33</v>
      </c>
      <c r="I37" s="1"/>
    </row>
    <row r="38" spans="1:9" x14ac:dyDescent="0.3">
      <c r="A38" t="s">
        <v>3</v>
      </c>
      <c r="B38" t="s">
        <v>15</v>
      </c>
      <c r="C38">
        <v>279066</v>
      </c>
      <c r="D38" s="3">
        <v>7.0000000000000007E-2</v>
      </c>
      <c r="E38" t="s">
        <v>33</v>
      </c>
      <c r="I38" s="1"/>
    </row>
    <row r="39" spans="1:9" x14ac:dyDescent="0.3">
      <c r="A39" t="s">
        <v>3</v>
      </c>
      <c r="B39" t="s">
        <v>16</v>
      </c>
      <c r="C39">
        <v>416462</v>
      </c>
      <c r="D39" s="3">
        <v>4.5999999999999999E-2</v>
      </c>
      <c r="E39" t="s">
        <v>33</v>
      </c>
      <c r="I39" s="1"/>
    </row>
    <row r="40" spans="1:9" x14ac:dyDescent="0.3">
      <c r="A40" t="s">
        <v>3</v>
      </c>
      <c r="B40" t="s">
        <v>17</v>
      </c>
      <c r="C40">
        <v>398338</v>
      </c>
      <c r="D40" s="3">
        <v>7.0000000000000007E-2</v>
      </c>
      <c r="E40" t="s">
        <v>33</v>
      </c>
      <c r="I40" s="1"/>
    </row>
    <row r="41" spans="1:9" x14ac:dyDescent="0.3">
      <c r="A41" t="s">
        <v>3</v>
      </c>
      <c r="B41" t="s">
        <v>18</v>
      </c>
      <c r="C41">
        <v>323279</v>
      </c>
      <c r="D41" s="3">
        <v>6.0999999999999999E-2</v>
      </c>
      <c r="E41" t="s">
        <v>33</v>
      </c>
      <c r="I41" s="1"/>
    </row>
    <row r="42" spans="1:9" x14ac:dyDescent="0.3">
      <c r="A42" t="s">
        <v>3</v>
      </c>
      <c r="B42" t="s">
        <v>19</v>
      </c>
      <c r="C42">
        <v>432365</v>
      </c>
      <c r="D42" s="3">
        <v>7.0999999999999994E-2</v>
      </c>
      <c r="E42" t="s">
        <v>33</v>
      </c>
      <c r="I42" s="1"/>
    </row>
    <row r="43" spans="1:9" x14ac:dyDescent="0.3">
      <c r="A43" t="s">
        <v>3</v>
      </c>
      <c r="B43" t="s">
        <v>20</v>
      </c>
      <c r="C43">
        <v>408076</v>
      </c>
      <c r="D43" s="3">
        <v>7.3999999999999996E-2</v>
      </c>
      <c r="E43" t="s">
        <v>33</v>
      </c>
      <c r="I43" s="1"/>
    </row>
    <row r="44" spans="1:9" x14ac:dyDescent="0.3">
      <c r="A44" t="s">
        <v>3</v>
      </c>
      <c r="B44" t="s">
        <v>21</v>
      </c>
      <c r="C44">
        <v>382333</v>
      </c>
      <c r="D44" s="3">
        <v>0.05</v>
      </c>
      <c r="E44" t="s">
        <v>33</v>
      </c>
      <c r="I44" s="1"/>
    </row>
    <row r="45" spans="1:9" x14ac:dyDescent="0.3">
      <c r="A45" t="s">
        <v>3</v>
      </c>
      <c r="B45" t="s">
        <v>22</v>
      </c>
      <c r="C45">
        <v>335725</v>
      </c>
      <c r="D45" s="3">
        <v>6.5000000000000002E-2</v>
      </c>
      <c r="E45" t="s">
        <v>33</v>
      </c>
      <c r="I45" s="1"/>
    </row>
    <row r="46" spans="1:9" x14ac:dyDescent="0.3">
      <c r="A46" t="s">
        <v>3</v>
      </c>
      <c r="B46" t="s">
        <v>23</v>
      </c>
      <c r="C46">
        <v>409931</v>
      </c>
      <c r="D46" s="3">
        <v>7.0000000000000007E-2</v>
      </c>
      <c r="E46" t="s">
        <v>33</v>
      </c>
      <c r="I46" s="1"/>
    </row>
    <row r="47" spans="1:9" x14ac:dyDescent="0.3">
      <c r="A47" t="s">
        <v>3</v>
      </c>
      <c r="B47" t="s">
        <v>24</v>
      </c>
      <c r="C47">
        <v>89618</v>
      </c>
      <c r="D47" s="3">
        <v>6.2E-2</v>
      </c>
      <c r="E47" t="s">
        <v>33</v>
      </c>
      <c r="I47" s="1"/>
    </row>
    <row r="48" spans="1:9" x14ac:dyDescent="0.3">
      <c r="A48" t="s">
        <v>3</v>
      </c>
      <c r="B48" t="s">
        <v>25</v>
      </c>
      <c r="C48">
        <v>87602</v>
      </c>
      <c r="D48" s="3">
        <v>0.05</v>
      </c>
      <c r="E48" t="s">
        <v>33</v>
      </c>
      <c r="I48" s="1"/>
    </row>
    <row r="49" spans="1:9" x14ac:dyDescent="0.3">
      <c r="A49" t="s">
        <v>3</v>
      </c>
      <c r="B49" t="s">
        <v>26</v>
      </c>
      <c r="C49">
        <v>172083</v>
      </c>
      <c r="D49" s="3">
        <v>6.3E-2</v>
      </c>
      <c r="E49" t="s">
        <v>33</v>
      </c>
      <c r="I49" s="1"/>
    </row>
    <row r="50" spans="1:9" x14ac:dyDescent="0.3">
      <c r="A50" t="s">
        <v>4</v>
      </c>
      <c r="B50" t="s">
        <v>15</v>
      </c>
      <c r="C50">
        <v>140015</v>
      </c>
      <c r="D50" s="3">
        <v>4.5999999999999999E-2</v>
      </c>
      <c r="E50" t="s">
        <v>33</v>
      </c>
      <c r="I50" s="1"/>
    </row>
    <row r="51" spans="1:9" x14ac:dyDescent="0.3">
      <c r="A51" t="s">
        <v>4</v>
      </c>
      <c r="B51" t="s">
        <v>16</v>
      </c>
      <c r="C51">
        <v>331776</v>
      </c>
      <c r="D51" s="3">
        <v>6.3E-2</v>
      </c>
      <c r="E51" t="s">
        <v>33</v>
      </c>
      <c r="I51" s="1"/>
    </row>
    <row r="52" spans="1:9" x14ac:dyDescent="0.3">
      <c r="A52" t="s">
        <v>4</v>
      </c>
      <c r="B52" t="s">
        <v>17</v>
      </c>
      <c r="C52">
        <v>184262</v>
      </c>
      <c r="D52" s="3">
        <v>5.1999999999999998E-2</v>
      </c>
      <c r="E52" t="s">
        <v>33</v>
      </c>
      <c r="I52" s="1"/>
    </row>
    <row r="53" spans="1:9" x14ac:dyDescent="0.3">
      <c r="A53" t="s">
        <v>4</v>
      </c>
      <c r="B53" t="s">
        <v>18</v>
      </c>
      <c r="C53">
        <v>156962</v>
      </c>
      <c r="D53" s="3">
        <v>7.4999999999999997E-2</v>
      </c>
      <c r="E53" t="s">
        <v>33</v>
      </c>
      <c r="I53" s="1"/>
    </row>
    <row r="54" spans="1:9" x14ac:dyDescent="0.3">
      <c r="A54" t="s">
        <v>4</v>
      </c>
      <c r="B54" t="s">
        <v>19</v>
      </c>
      <c r="C54">
        <v>181490</v>
      </c>
      <c r="D54" s="3">
        <v>4.9000000000000002E-2</v>
      </c>
      <c r="E54" t="s">
        <v>33</v>
      </c>
      <c r="I54" s="1"/>
    </row>
    <row r="55" spans="1:9" x14ac:dyDescent="0.3">
      <c r="A55" t="s">
        <v>4</v>
      </c>
      <c r="B55" t="s">
        <v>20</v>
      </c>
      <c r="C55">
        <v>331037</v>
      </c>
      <c r="D55" s="3">
        <v>7.0000000000000007E-2</v>
      </c>
      <c r="E55" t="s">
        <v>33</v>
      </c>
      <c r="I55" s="1"/>
    </row>
    <row r="56" spans="1:9" x14ac:dyDescent="0.3">
      <c r="A56" t="s">
        <v>4</v>
      </c>
      <c r="B56" t="s">
        <v>21</v>
      </c>
      <c r="C56">
        <v>207633</v>
      </c>
      <c r="D56" s="3">
        <v>5.2999999999999999E-2</v>
      </c>
      <c r="E56" t="s">
        <v>33</v>
      </c>
      <c r="I56" s="1"/>
    </row>
    <row r="57" spans="1:9" x14ac:dyDescent="0.3">
      <c r="A57" t="s">
        <v>4</v>
      </c>
      <c r="B57" t="s">
        <v>22</v>
      </c>
      <c r="C57">
        <v>384121</v>
      </c>
      <c r="D57" s="3">
        <v>7.2999999999999995E-2</v>
      </c>
      <c r="E57" t="s">
        <v>33</v>
      </c>
      <c r="I57" s="1"/>
    </row>
    <row r="58" spans="1:9" x14ac:dyDescent="0.3">
      <c r="A58" t="s">
        <v>4</v>
      </c>
      <c r="B58" t="s">
        <v>23</v>
      </c>
      <c r="C58">
        <v>308521</v>
      </c>
      <c r="D58" s="3">
        <v>5.6000000000000001E-2</v>
      </c>
      <c r="E58" t="s">
        <v>33</v>
      </c>
      <c r="I58" s="1"/>
    </row>
    <row r="59" spans="1:9" x14ac:dyDescent="0.3">
      <c r="A59" t="s">
        <v>4</v>
      </c>
      <c r="B59" t="s">
        <v>24</v>
      </c>
      <c r="C59">
        <v>257335</v>
      </c>
      <c r="D59" s="3">
        <v>4.5999999999999999E-2</v>
      </c>
      <c r="E59" t="s">
        <v>33</v>
      </c>
      <c r="I59" s="1"/>
    </row>
    <row r="60" spans="1:9" x14ac:dyDescent="0.3">
      <c r="A60" t="s">
        <v>4</v>
      </c>
      <c r="B60" t="s">
        <v>25</v>
      </c>
      <c r="C60">
        <v>106709</v>
      </c>
      <c r="D60" s="3">
        <v>4.7E-2</v>
      </c>
      <c r="E60" t="s">
        <v>33</v>
      </c>
      <c r="I60" s="1"/>
    </row>
    <row r="61" spans="1:9" x14ac:dyDescent="0.3">
      <c r="A61" t="s">
        <v>4</v>
      </c>
      <c r="B61" t="s">
        <v>26</v>
      </c>
      <c r="C61">
        <v>233915</v>
      </c>
      <c r="D61" s="3">
        <v>7.3999999999999996E-2</v>
      </c>
      <c r="E61" t="s">
        <v>33</v>
      </c>
      <c r="I61" s="1"/>
    </row>
    <row r="62" spans="1:9" x14ac:dyDescent="0.3">
      <c r="A62" t="s">
        <v>5</v>
      </c>
      <c r="B62" t="s">
        <v>15</v>
      </c>
      <c r="C62">
        <v>346238</v>
      </c>
      <c r="D62" s="3">
        <v>5.8000000000000003E-2</v>
      </c>
      <c r="E62" t="s">
        <v>33</v>
      </c>
      <c r="I62" s="1"/>
    </row>
    <row r="63" spans="1:9" x14ac:dyDescent="0.3">
      <c r="A63" t="s">
        <v>5</v>
      </c>
      <c r="B63" t="s">
        <v>16</v>
      </c>
      <c r="C63">
        <v>158213</v>
      </c>
      <c r="D63" s="3">
        <v>5.7000000000000002E-2</v>
      </c>
      <c r="E63" t="s">
        <v>33</v>
      </c>
      <c r="I63" s="1"/>
    </row>
    <row r="64" spans="1:9" x14ac:dyDescent="0.3">
      <c r="A64" t="s">
        <v>5</v>
      </c>
      <c r="B64" t="s">
        <v>17</v>
      </c>
      <c r="C64">
        <v>222749</v>
      </c>
      <c r="D64" s="3">
        <v>6.7000000000000004E-2</v>
      </c>
      <c r="E64" t="s">
        <v>33</v>
      </c>
      <c r="I64" s="1"/>
    </row>
    <row r="65" spans="1:9" x14ac:dyDescent="0.3">
      <c r="A65" t="s">
        <v>5</v>
      </c>
      <c r="B65" t="s">
        <v>18</v>
      </c>
      <c r="C65">
        <v>209576</v>
      </c>
      <c r="D65" s="3">
        <v>4.9000000000000002E-2</v>
      </c>
      <c r="E65" t="s">
        <v>33</v>
      </c>
      <c r="I65" s="1"/>
    </row>
    <row r="66" spans="1:9" x14ac:dyDescent="0.3">
      <c r="A66" t="s">
        <v>5</v>
      </c>
      <c r="B66" t="s">
        <v>19</v>
      </c>
      <c r="C66">
        <v>194219</v>
      </c>
      <c r="D66" s="3">
        <v>6.0999999999999999E-2</v>
      </c>
      <c r="E66" t="s">
        <v>33</v>
      </c>
      <c r="I66" s="1"/>
    </row>
    <row r="67" spans="1:9" x14ac:dyDescent="0.3">
      <c r="A67" t="s">
        <v>5</v>
      </c>
      <c r="B67" t="s">
        <v>20</v>
      </c>
      <c r="C67">
        <v>380534</v>
      </c>
      <c r="D67" s="3">
        <v>6.2E-2</v>
      </c>
      <c r="E67" t="s">
        <v>33</v>
      </c>
      <c r="I67" s="1"/>
    </row>
    <row r="68" spans="1:9" x14ac:dyDescent="0.3">
      <c r="A68" t="s">
        <v>5</v>
      </c>
      <c r="B68" t="s">
        <v>21</v>
      </c>
      <c r="C68">
        <v>188413</v>
      </c>
      <c r="D68" s="3">
        <v>4.5999999999999999E-2</v>
      </c>
      <c r="E68" t="s">
        <v>33</v>
      </c>
      <c r="I68" s="1"/>
    </row>
    <row r="69" spans="1:9" x14ac:dyDescent="0.3">
      <c r="A69" t="s">
        <v>5</v>
      </c>
      <c r="B69" t="s">
        <v>22</v>
      </c>
      <c r="C69">
        <v>379964</v>
      </c>
      <c r="D69" s="3">
        <v>5.1999999999999998E-2</v>
      </c>
      <c r="E69" t="s">
        <v>33</v>
      </c>
      <c r="I69" s="1"/>
    </row>
    <row r="70" spans="1:9" x14ac:dyDescent="0.3">
      <c r="A70" t="s">
        <v>5</v>
      </c>
      <c r="B70" t="s">
        <v>23</v>
      </c>
      <c r="C70">
        <v>354200</v>
      </c>
      <c r="D70" s="3">
        <v>7.0000000000000007E-2</v>
      </c>
      <c r="E70" t="s">
        <v>33</v>
      </c>
      <c r="I70" s="1"/>
    </row>
    <row r="71" spans="1:9" x14ac:dyDescent="0.3">
      <c r="A71" t="s">
        <v>5</v>
      </c>
      <c r="B71" t="s">
        <v>24</v>
      </c>
      <c r="C71">
        <v>269189</v>
      </c>
      <c r="D71" s="3">
        <v>5.5E-2</v>
      </c>
      <c r="E71" t="s">
        <v>33</v>
      </c>
      <c r="I71" s="1"/>
    </row>
    <row r="72" spans="1:9" x14ac:dyDescent="0.3">
      <c r="A72" t="s">
        <v>5</v>
      </c>
      <c r="B72" t="s">
        <v>25</v>
      </c>
      <c r="C72">
        <v>382449</v>
      </c>
      <c r="D72" s="3">
        <v>7.3999999999999996E-2</v>
      </c>
      <c r="E72" t="s">
        <v>33</v>
      </c>
      <c r="I72" s="1"/>
    </row>
    <row r="73" spans="1:9" x14ac:dyDescent="0.3">
      <c r="A73" t="s">
        <v>5</v>
      </c>
      <c r="B73" t="s">
        <v>26</v>
      </c>
      <c r="C73">
        <v>277791</v>
      </c>
      <c r="D73" s="3">
        <v>6.5000000000000002E-2</v>
      </c>
      <c r="E73" t="s">
        <v>33</v>
      </c>
      <c r="I73" s="1"/>
    </row>
    <row r="74" spans="1:9" x14ac:dyDescent="0.3">
      <c r="A74" t="s">
        <v>6</v>
      </c>
      <c r="B74" t="s">
        <v>15</v>
      </c>
      <c r="C74">
        <v>256174</v>
      </c>
      <c r="D74" s="3">
        <v>0.06</v>
      </c>
      <c r="E74" t="s">
        <v>33</v>
      </c>
      <c r="I74" s="1"/>
    </row>
    <row r="75" spans="1:9" x14ac:dyDescent="0.3">
      <c r="A75" t="s">
        <v>6</v>
      </c>
      <c r="B75" t="s">
        <v>16</v>
      </c>
      <c r="C75">
        <v>293636</v>
      </c>
      <c r="D75" s="3">
        <v>5.7000000000000002E-2</v>
      </c>
      <c r="E75" t="s">
        <v>33</v>
      </c>
      <c r="I75" s="1"/>
    </row>
    <row r="76" spans="1:9" x14ac:dyDescent="0.3">
      <c r="A76" t="s">
        <v>6</v>
      </c>
      <c r="B76" t="s">
        <v>17</v>
      </c>
      <c r="C76">
        <v>264721</v>
      </c>
      <c r="D76" s="3">
        <v>7.0999999999999994E-2</v>
      </c>
      <c r="E76" t="s">
        <v>33</v>
      </c>
      <c r="I76" s="1"/>
    </row>
    <row r="77" spans="1:9" x14ac:dyDescent="0.3">
      <c r="A77" t="s">
        <v>6</v>
      </c>
      <c r="B77" t="s">
        <v>18</v>
      </c>
      <c r="C77">
        <v>82276</v>
      </c>
      <c r="D77" s="3">
        <v>7.1999999999999995E-2</v>
      </c>
      <c r="E77" t="s">
        <v>33</v>
      </c>
      <c r="I77" s="1"/>
    </row>
    <row r="78" spans="1:9" x14ac:dyDescent="0.3">
      <c r="A78" t="s">
        <v>6</v>
      </c>
      <c r="B78" t="s">
        <v>19</v>
      </c>
      <c r="C78">
        <v>208382</v>
      </c>
      <c r="D78" s="3">
        <v>6.9000000000000006E-2</v>
      </c>
      <c r="E78" t="s">
        <v>33</v>
      </c>
      <c r="I78" s="1"/>
    </row>
    <row r="79" spans="1:9" x14ac:dyDescent="0.3">
      <c r="A79" t="s">
        <v>6</v>
      </c>
      <c r="B79" t="s">
        <v>20</v>
      </c>
      <c r="C79">
        <v>412337</v>
      </c>
      <c r="D79" s="3">
        <v>4.5999999999999999E-2</v>
      </c>
      <c r="E79" t="s">
        <v>33</v>
      </c>
      <c r="I79" s="1"/>
    </row>
    <row r="80" spans="1:9" x14ac:dyDescent="0.3">
      <c r="A80" t="s">
        <v>6</v>
      </c>
      <c r="B80" t="s">
        <v>21</v>
      </c>
      <c r="C80">
        <v>359172</v>
      </c>
      <c r="D80" s="3">
        <v>7.0000000000000007E-2</v>
      </c>
      <c r="E80" t="s">
        <v>33</v>
      </c>
      <c r="I80" s="1"/>
    </row>
    <row r="81" spans="1:9" x14ac:dyDescent="0.3">
      <c r="A81" t="s">
        <v>6</v>
      </c>
      <c r="B81" t="s">
        <v>22</v>
      </c>
      <c r="C81">
        <v>133104</v>
      </c>
      <c r="D81" s="3">
        <v>0.05</v>
      </c>
      <c r="E81" t="s">
        <v>33</v>
      </c>
      <c r="I81" s="1"/>
    </row>
    <row r="82" spans="1:9" x14ac:dyDescent="0.3">
      <c r="A82" t="s">
        <v>6</v>
      </c>
      <c r="B82" t="s">
        <v>23</v>
      </c>
      <c r="C82">
        <v>245330</v>
      </c>
      <c r="D82" s="3">
        <v>6.4000000000000001E-2</v>
      </c>
      <c r="E82" t="s">
        <v>33</v>
      </c>
      <c r="I82" s="1"/>
    </row>
    <row r="83" spans="1:9" x14ac:dyDescent="0.3">
      <c r="A83" t="s">
        <v>6</v>
      </c>
      <c r="B83" t="s">
        <v>24</v>
      </c>
      <c r="C83">
        <v>216516</v>
      </c>
      <c r="D83" s="3">
        <v>5.8999999999999997E-2</v>
      </c>
      <c r="E83" t="s">
        <v>33</v>
      </c>
      <c r="I83" s="1"/>
    </row>
    <row r="84" spans="1:9" x14ac:dyDescent="0.3">
      <c r="A84" t="s">
        <v>6</v>
      </c>
      <c r="B84" t="s">
        <v>25</v>
      </c>
      <c r="C84">
        <v>349755</v>
      </c>
      <c r="D84" s="3">
        <v>5.6000000000000001E-2</v>
      </c>
      <c r="E84" t="s">
        <v>33</v>
      </c>
      <c r="I84" s="1"/>
    </row>
    <row r="85" spans="1:9" x14ac:dyDescent="0.3">
      <c r="A85" t="s">
        <v>6</v>
      </c>
      <c r="B85" t="s">
        <v>26</v>
      </c>
      <c r="C85">
        <v>373712</v>
      </c>
      <c r="D85" s="3">
        <v>5.6000000000000001E-2</v>
      </c>
      <c r="E85" t="s">
        <v>33</v>
      </c>
      <c r="I85" s="1"/>
    </row>
    <row r="86" spans="1:9" x14ac:dyDescent="0.3">
      <c r="A86" t="s">
        <v>7</v>
      </c>
      <c r="B86" t="s">
        <v>15</v>
      </c>
      <c r="C86">
        <v>312943</v>
      </c>
      <c r="D86" s="3">
        <v>6.8000000000000005E-2</v>
      </c>
      <c r="E86" t="s">
        <v>33</v>
      </c>
      <c r="I86" s="1"/>
    </row>
    <row r="87" spans="1:9" x14ac:dyDescent="0.3">
      <c r="A87" t="s">
        <v>7</v>
      </c>
      <c r="B87" t="s">
        <v>16</v>
      </c>
      <c r="C87">
        <v>320104</v>
      </c>
      <c r="D87" s="3">
        <v>5.7000000000000002E-2</v>
      </c>
      <c r="E87" t="s">
        <v>33</v>
      </c>
      <c r="I87" s="1"/>
    </row>
    <row r="88" spans="1:9" x14ac:dyDescent="0.3">
      <c r="A88" t="s">
        <v>7</v>
      </c>
      <c r="B88" t="s">
        <v>17</v>
      </c>
      <c r="C88">
        <v>115115</v>
      </c>
      <c r="D88" s="3">
        <v>7.0000000000000007E-2</v>
      </c>
      <c r="E88" t="s">
        <v>33</v>
      </c>
      <c r="I88" s="1"/>
    </row>
    <row r="89" spans="1:9" x14ac:dyDescent="0.3">
      <c r="A89" t="s">
        <v>7</v>
      </c>
      <c r="B89" t="s">
        <v>18</v>
      </c>
      <c r="C89">
        <v>82224</v>
      </c>
      <c r="D89" s="3">
        <v>4.5999999999999999E-2</v>
      </c>
      <c r="E89" t="s">
        <v>33</v>
      </c>
      <c r="I89" s="1"/>
    </row>
    <row r="90" spans="1:9" x14ac:dyDescent="0.3">
      <c r="A90" t="s">
        <v>7</v>
      </c>
      <c r="B90" t="s">
        <v>19</v>
      </c>
      <c r="C90">
        <v>144465</v>
      </c>
      <c r="D90" s="3">
        <v>6.9000000000000006E-2</v>
      </c>
      <c r="E90" t="s">
        <v>33</v>
      </c>
      <c r="I90" s="1"/>
    </row>
    <row r="91" spans="1:9" x14ac:dyDescent="0.3">
      <c r="A91" t="s">
        <v>7</v>
      </c>
      <c r="B91" t="s">
        <v>20</v>
      </c>
      <c r="C91">
        <v>394293</v>
      </c>
      <c r="D91" s="3">
        <v>6.2E-2</v>
      </c>
      <c r="E91" t="s">
        <v>33</v>
      </c>
      <c r="I91" s="1"/>
    </row>
    <row r="92" spans="1:9" x14ac:dyDescent="0.3">
      <c r="A92" t="s">
        <v>7</v>
      </c>
      <c r="B92" t="s">
        <v>21</v>
      </c>
      <c r="C92">
        <v>279730</v>
      </c>
      <c r="D92" s="3">
        <v>6.0999999999999999E-2</v>
      </c>
      <c r="E92" t="s">
        <v>33</v>
      </c>
      <c r="I92" s="1"/>
    </row>
    <row r="93" spans="1:9" x14ac:dyDescent="0.3">
      <c r="A93" t="s">
        <v>7</v>
      </c>
      <c r="B93" t="s">
        <v>22</v>
      </c>
      <c r="C93">
        <v>336182</v>
      </c>
      <c r="D93" s="3">
        <v>7.4999999999999997E-2</v>
      </c>
      <c r="E93" t="s">
        <v>33</v>
      </c>
      <c r="I93" s="1"/>
    </row>
    <row r="94" spans="1:9" x14ac:dyDescent="0.3">
      <c r="A94" t="s">
        <v>7</v>
      </c>
      <c r="B94" t="s">
        <v>23</v>
      </c>
      <c r="C94">
        <v>157681</v>
      </c>
      <c r="D94" s="3">
        <v>5.3999999999999999E-2</v>
      </c>
      <c r="E94" t="s">
        <v>33</v>
      </c>
      <c r="I94" s="1"/>
    </row>
    <row r="95" spans="1:9" x14ac:dyDescent="0.3">
      <c r="A95" t="s">
        <v>7</v>
      </c>
      <c r="B95" t="s">
        <v>24</v>
      </c>
      <c r="C95">
        <v>111276</v>
      </c>
      <c r="D95" s="3">
        <v>0.05</v>
      </c>
      <c r="E95" t="s">
        <v>33</v>
      </c>
      <c r="I95" s="1"/>
    </row>
    <row r="96" spans="1:9" x14ac:dyDescent="0.3">
      <c r="A96" t="s">
        <v>7</v>
      </c>
      <c r="B96" t="s">
        <v>25</v>
      </c>
      <c r="C96">
        <v>207832</v>
      </c>
      <c r="D96" s="3">
        <v>5.7000000000000002E-2</v>
      </c>
      <c r="E96" t="s">
        <v>33</v>
      </c>
      <c r="I96" s="1"/>
    </row>
    <row r="97" spans="1:9" x14ac:dyDescent="0.3">
      <c r="A97" t="s">
        <v>7</v>
      </c>
      <c r="B97" t="s">
        <v>26</v>
      </c>
      <c r="C97">
        <v>414047</v>
      </c>
      <c r="D97" s="3">
        <v>7.2999999999999995E-2</v>
      </c>
      <c r="E97" t="s">
        <v>33</v>
      </c>
      <c r="I97" s="1"/>
    </row>
    <row r="98" spans="1:9" x14ac:dyDescent="0.3">
      <c r="A98" t="s">
        <v>8</v>
      </c>
      <c r="B98" t="s">
        <v>15</v>
      </c>
      <c r="C98">
        <v>206880</v>
      </c>
      <c r="D98" s="3">
        <v>7.4999999999999997E-2</v>
      </c>
      <c r="E98" t="s">
        <v>33</v>
      </c>
      <c r="I98" s="1"/>
    </row>
    <row r="99" spans="1:9" x14ac:dyDescent="0.3">
      <c r="A99" t="s">
        <v>8</v>
      </c>
      <c r="B99" t="s">
        <v>16</v>
      </c>
      <c r="C99">
        <v>136486</v>
      </c>
      <c r="D99" s="3">
        <v>7.2999999999999995E-2</v>
      </c>
      <c r="E99" t="s">
        <v>33</v>
      </c>
      <c r="I99" s="1"/>
    </row>
    <row r="100" spans="1:9" x14ac:dyDescent="0.3">
      <c r="A100" t="s">
        <v>8</v>
      </c>
      <c r="B100" t="s">
        <v>17</v>
      </c>
      <c r="C100">
        <v>251680</v>
      </c>
      <c r="D100" s="3">
        <v>6.0999999999999999E-2</v>
      </c>
      <c r="E100" t="s">
        <v>33</v>
      </c>
      <c r="I100" s="1"/>
    </row>
    <row r="101" spans="1:9" x14ac:dyDescent="0.3">
      <c r="A101" t="s">
        <v>8</v>
      </c>
      <c r="B101" t="s">
        <v>18</v>
      </c>
      <c r="C101">
        <v>219195</v>
      </c>
      <c r="D101" s="3">
        <v>5.5E-2</v>
      </c>
      <c r="E101" t="s">
        <v>33</v>
      </c>
      <c r="I101" s="1"/>
    </row>
    <row r="102" spans="1:9" x14ac:dyDescent="0.3">
      <c r="A102" t="s">
        <v>8</v>
      </c>
      <c r="B102" t="s">
        <v>19</v>
      </c>
      <c r="C102">
        <v>333286</v>
      </c>
      <c r="D102" s="3">
        <v>7.3999999999999996E-2</v>
      </c>
      <c r="E102" t="s">
        <v>33</v>
      </c>
      <c r="I102" s="1"/>
    </row>
    <row r="103" spans="1:9" x14ac:dyDescent="0.3">
      <c r="A103" t="s">
        <v>8</v>
      </c>
      <c r="B103" t="s">
        <v>20</v>
      </c>
      <c r="C103">
        <v>124267</v>
      </c>
      <c r="D103" s="3">
        <v>7.0000000000000007E-2</v>
      </c>
      <c r="E103" t="s">
        <v>33</v>
      </c>
      <c r="I103" s="1"/>
    </row>
    <row r="104" spans="1:9" x14ac:dyDescent="0.3">
      <c r="A104" t="s">
        <v>8</v>
      </c>
      <c r="B104" t="s">
        <v>21</v>
      </c>
      <c r="C104">
        <v>281899</v>
      </c>
      <c r="D104" s="3">
        <v>7.0999999999999994E-2</v>
      </c>
      <c r="E104" t="s">
        <v>33</v>
      </c>
      <c r="I104" s="1"/>
    </row>
    <row r="105" spans="1:9" x14ac:dyDescent="0.3">
      <c r="A105" t="s">
        <v>8</v>
      </c>
      <c r="B105" t="s">
        <v>22</v>
      </c>
      <c r="C105">
        <v>427452</v>
      </c>
      <c r="D105" s="3">
        <v>7.3999999999999996E-2</v>
      </c>
      <c r="E105" t="s">
        <v>33</v>
      </c>
      <c r="I105" s="1"/>
    </row>
    <row r="106" spans="1:9" x14ac:dyDescent="0.3">
      <c r="A106" t="s">
        <v>8</v>
      </c>
      <c r="B106" t="s">
        <v>23</v>
      </c>
      <c r="C106">
        <v>428660</v>
      </c>
      <c r="D106" s="3">
        <v>6.3E-2</v>
      </c>
      <c r="E106" t="s">
        <v>33</v>
      </c>
      <c r="I106" s="1"/>
    </row>
    <row r="107" spans="1:9" x14ac:dyDescent="0.3">
      <c r="A107" t="s">
        <v>8</v>
      </c>
      <c r="B107" t="s">
        <v>24</v>
      </c>
      <c r="C107">
        <v>393131</v>
      </c>
      <c r="D107" s="3">
        <v>7.3999999999999996E-2</v>
      </c>
      <c r="E107" t="s">
        <v>33</v>
      </c>
      <c r="I107" s="1"/>
    </row>
    <row r="108" spans="1:9" x14ac:dyDescent="0.3">
      <c r="A108" t="s">
        <v>8</v>
      </c>
      <c r="B108" t="s">
        <v>25</v>
      </c>
      <c r="C108">
        <v>312219</v>
      </c>
      <c r="D108" s="3">
        <v>7.2999999999999995E-2</v>
      </c>
      <c r="E108" t="s">
        <v>33</v>
      </c>
      <c r="I108" s="1"/>
    </row>
    <row r="109" spans="1:9" x14ac:dyDescent="0.3">
      <c r="A109" t="s">
        <v>8</v>
      </c>
      <c r="B109" t="s">
        <v>26</v>
      </c>
      <c r="C109">
        <v>393918</v>
      </c>
      <c r="D109" s="3">
        <v>5.8000000000000003E-2</v>
      </c>
      <c r="E109" t="s">
        <v>33</v>
      </c>
      <c r="I109" s="1"/>
    </row>
    <row r="110" spans="1:9" x14ac:dyDescent="0.3">
      <c r="A110" t="s">
        <v>9</v>
      </c>
      <c r="B110" t="s">
        <v>15</v>
      </c>
      <c r="C110">
        <v>193793</v>
      </c>
      <c r="D110" s="3">
        <v>7.3999999999999996E-2</v>
      </c>
      <c r="E110" t="s">
        <v>33</v>
      </c>
      <c r="I110" s="1"/>
    </row>
    <row r="111" spans="1:9" x14ac:dyDescent="0.3">
      <c r="A111" t="s">
        <v>9</v>
      </c>
      <c r="B111" t="s">
        <v>16</v>
      </c>
      <c r="C111">
        <v>364274</v>
      </c>
      <c r="D111" s="3">
        <v>7.1999999999999995E-2</v>
      </c>
      <c r="E111" t="s">
        <v>33</v>
      </c>
      <c r="I111" s="1"/>
    </row>
    <row r="112" spans="1:9" x14ac:dyDescent="0.3">
      <c r="A112" t="s">
        <v>9</v>
      </c>
      <c r="B112" t="s">
        <v>17</v>
      </c>
      <c r="C112">
        <v>407130</v>
      </c>
      <c r="D112" s="3">
        <v>4.9000000000000002E-2</v>
      </c>
      <c r="E112" t="s">
        <v>33</v>
      </c>
      <c r="I112" s="1"/>
    </row>
    <row r="113" spans="1:9" x14ac:dyDescent="0.3">
      <c r="A113" t="s">
        <v>9</v>
      </c>
      <c r="B113" t="s">
        <v>18</v>
      </c>
      <c r="C113">
        <v>216103</v>
      </c>
      <c r="D113" s="3">
        <v>4.8000000000000001E-2</v>
      </c>
      <c r="E113" t="s">
        <v>33</v>
      </c>
      <c r="I113" s="1"/>
    </row>
    <row r="114" spans="1:9" x14ac:dyDescent="0.3">
      <c r="A114" t="s">
        <v>9</v>
      </c>
      <c r="B114" t="s">
        <v>19</v>
      </c>
      <c r="C114">
        <v>251834</v>
      </c>
      <c r="D114" s="3">
        <v>6.3E-2</v>
      </c>
      <c r="E114" t="s">
        <v>33</v>
      </c>
      <c r="I114" s="1"/>
    </row>
    <row r="115" spans="1:9" x14ac:dyDescent="0.3">
      <c r="A115" t="s">
        <v>9</v>
      </c>
      <c r="B115" t="s">
        <v>20</v>
      </c>
      <c r="C115">
        <v>339071</v>
      </c>
      <c r="D115" s="3">
        <v>6.7000000000000004E-2</v>
      </c>
      <c r="E115" t="s">
        <v>33</v>
      </c>
      <c r="I115" s="1"/>
    </row>
    <row r="116" spans="1:9" x14ac:dyDescent="0.3">
      <c r="A116" t="s">
        <v>9</v>
      </c>
      <c r="B116" t="s">
        <v>21</v>
      </c>
      <c r="C116">
        <v>160168</v>
      </c>
      <c r="D116" s="3">
        <v>4.4999999999999998E-2</v>
      </c>
      <c r="E116" t="s">
        <v>33</v>
      </c>
      <c r="I116" s="1"/>
    </row>
    <row r="117" spans="1:9" x14ac:dyDescent="0.3">
      <c r="A117" t="s">
        <v>9</v>
      </c>
      <c r="B117" t="s">
        <v>22</v>
      </c>
      <c r="C117">
        <v>80395</v>
      </c>
      <c r="D117" s="3">
        <v>6.9000000000000006E-2</v>
      </c>
      <c r="E117" t="s">
        <v>33</v>
      </c>
      <c r="I117" s="1"/>
    </row>
    <row r="118" spans="1:9" x14ac:dyDescent="0.3">
      <c r="A118" t="s">
        <v>9</v>
      </c>
      <c r="B118" t="s">
        <v>23</v>
      </c>
      <c r="C118">
        <v>281543</v>
      </c>
      <c r="D118" s="3">
        <v>5.3999999999999999E-2</v>
      </c>
      <c r="E118" t="s">
        <v>33</v>
      </c>
      <c r="I118" s="1"/>
    </row>
    <row r="119" spans="1:9" x14ac:dyDescent="0.3">
      <c r="A119" t="s">
        <v>9</v>
      </c>
      <c r="B119" t="s">
        <v>24</v>
      </c>
      <c r="C119">
        <v>316930</v>
      </c>
      <c r="D119" s="3">
        <v>6.9000000000000006E-2</v>
      </c>
      <c r="E119" t="s">
        <v>33</v>
      </c>
      <c r="I119" s="1"/>
    </row>
    <row r="120" spans="1:9" x14ac:dyDescent="0.3">
      <c r="A120" t="s">
        <v>9</v>
      </c>
      <c r="B120" t="s">
        <v>25</v>
      </c>
      <c r="C120">
        <v>231927</v>
      </c>
      <c r="D120" s="3">
        <v>6.4000000000000001E-2</v>
      </c>
      <c r="E120" t="s">
        <v>33</v>
      </c>
      <c r="I120" s="1"/>
    </row>
    <row r="121" spans="1:9" x14ac:dyDescent="0.3">
      <c r="A121" t="s">
        <v>9</v>
      </c>
      <c r="B121" t="s">
        <v>26</v>
      </c>
      <c r="C121">
        <v>290106</v>
      </c>
      <c r="D121" s="3">
        <v>4.8000000000000001E-2</v>
      </c>
      <c r="E121" t="s">
        <v>33</v>
      </c>
      <c r="I121" s="1"/>
    </row>
    <row r="122" spans="1:9" x14ac:dyDescent="0.3">
      <c r="A122" t="s">
        <v>10</v>
      </c>
      <c r="B122" t="s">
        <v>15</v>
      </c>
      <c r="C122">
        <v>447361</v>
      </c>
      <c r="D122" s="3">
        <v>5.6000000000000001E-2</v>
      </c>
      <c r="E122" t="s">
        <v>33</v>
      </c>
      <c r="I122" s="1"/>
    </row>
    <row r="123" spans="1:9" x14ac:dyDescent="0.3">
      <c r="A123" t="s">
        <v>10</v>
      </c>
      <c r="B123" t="s">
        <v>16</v>
      </c>
      <c r="C123">
        <v>281413</v>
      </c>
      <c r="D123" s="3">
        <v>5.0999999999999997E-2</v>
      </c>
      <c r="E123" t="s">
        <v>33</v>
      </c>
      <c r="I123" s="1"/>
    </row>
    <row r="124" spans="1:9" x14ac:dyDescent="0.3">
      <c r="A124" t="s">
        <v>10</v>
      </c>
      <c r="B124" t="s">
        <v>17</v>
      </c>
      <c r="C124">
        <v>291833</v>
      </c>
      <c r="D124" s="3">
        <v>6.8000000000000005E-2</v>
      </c>
      <c r="E124" t="s">
        <v>33</v>
      </c>
      <c r="I124" s="1"/>
    </row>
    <row r="125" spans="1:9" x14ac:dyDescent="0.3">
      <c r="A125" t="s">
        <v>10</v>
      </c>
      <c r="B125" t="s">
        <v>18</v>
      </c>
      <c r="C125">
        <v>303053</v>
      </c>
      <c r="D125" s="3">
        <v>5.6000000000000001E-2</v>
      </c>
      <c r="E125" t="s">
        <v>33</v>
      </c>
      <c r="I125" s="1"/>
    </row>
    <row r="126" spans="1:9" x14ac:dyDescent="0.3">
      <c r="A126" t="s">
        <v>10</v>
      </c>
      <c r="B126" t="s">
        <v>19</v>
      </c>
      <c r="C126">
        <v>254545</v>
      </c>
      <c r="D126" s="3">
        <v>4.7E-2</v>
      </c>
      <c r="E126" t="s">
        <v>33</v>
      </c>
      <c r="I126" s="1"/>
    </row>
    <row r="127" spans="1:9" x14ac:dyDescent="0.3">
      <c r="A127" t="s">
        <v>10</v>
      </c>
      <c r="B127" t="s">
        <v>20</v>
      </c>
      <c r="C127">
        <v>216210</v>
      </c>
      <c r="D127" s="3">
        <v>5.5E-2</v>
      </c>
      <c r="E127" t="s">
        <v>33</v>
      </c>
      <c r="I127" s="1"/>
    </row>
    <row r="128" spans="1:9" x14ac:dyDescent="0.3">
      <c r="A128" t="s">
        <v>10</v>
      </c>
      <c r="B128" t="s">
        <v>21</v>
      </c>
      <c r="C128">
        <v>448512</v>
      </c>
      <c r="D128" s="3">
        <v>6.3E-2</v>
      </c>
      <c r="E128" t="s">
        <v>33</v>
      </c>
      <c r="I128" s="1"/>
    </row>
    <row r="129" spans="1:9" x14ac:dyDescent="0.3">
      <c r="A129" t="s">
        <v>10</v>
      </c>
      <c r="B129" t="s">
        <v>22</v>
      </c>
      <c r="C129">
        <v>273147</v>
      </c>
      <c r="D129" s="3">
        <v>5.5E-2</v>
      </c>
      <c r="E129" t="s">
        <v>33</v>
      </c>
      <c r="I129" s="1"/>
    </row>
    <row r="130" spans="1:9" x14ac:dyDescent="0.3">
      <c r="A130" t="s">
        <v>10</v>
      </c>
      <c r="B130" t="s">
        <v>23</v>
      </c>
      <c r="C130">
        <v>233777</v>
      </c>
      <c r="D130" s="3">
        <v>0.06</v>
      </c>
      <c r="E130" t="s">
        <v>33</v>
      </c>
      <c r="I130" s="1"/>
    </row>
    <row r="131" spans="1:9" x14ac:dyDescent="0.3">
      <c r="A131" t="s">
        <v>10</v>
      </c>
      <c r="B131" t="s">
        <v>24</v>
      </c>
      <c r="C131">
        <v>84404</v>
      </c>
      <c r="D131" s="3">
        <v>6.2E-2</v>
      </c>
      <c r="E131" t="s">
        <v>33</v>
      </c>
      <c r="I131" s="1"/>
    </row>
    <row r="132" spans="1:9" x14ac:dyDescent="0.3">
      <c r="A132" t="s">
        <v>10</v>
      </c>
      <c r="B132" t="s">
        <v>25</v>
      </c>
      <c r="C132">
        <v>286000</v>
      </c>
      <c r="D132" s="3">
        <v>6.6000000000000003E-2</v>
      </c>
      <c r="E132" t="s">
        <v>33</v>
      </c>
      <c r="I132" s="1"/>
    </row>
    <row r="133" spans="1:9" x14ac:dyDescent="0.3">
      <c r="A133" t="s">
        <v>10</v>
      </c>
      <c r="B133" t="s">
        <v>26</v>
      </c>
      <c r="C133">
        <v>311641</v>
      </c>
      <c r="D133" s="3">
        <v>6.2E-2</v>
      </c>
      <c r="E133" t="s">
        <v>33</v>
      </c>
      <c r="I133" s="1"/>
    </row>
    <row r="134" spans="1:9" x14ac:dyDescent="0.3">
      <c r="A134" t="s">
        <v>11</v>
      </c>
      <c r="B134" t="s">
        <v>15</v>
      </c>
      <c r="C134">
        <v>127176</v>
      </c>
      <c r="D134" s="3">
        <v>6.5000000000000002E-2</v>
      </c>
      <c r="E134" t="s">
        <v>33</v>
      </c>
      <c r="I134" s="1"/>
    </row>
    <row r="135" spans="1:9" x14ac:dyDescent="0.3">
      <c r="A135" t="s">
        <v>11</v>
      </c>
      <c r="B135" t="s">
        <v>16</v>
      </c>
      <c r="C135">
        <v>351952</v>
      </c>
      <c r="D135" s="3">
        <v>0.05</v>
      </c>
      <c r="E135" t="s">
        <v>33</v>
      </c>
      <c r="I135" s="1"/>
    </row>
    <row r="136" spans="1:9" x14ac:dyDescent="0.3">
      <c r="A136" t="s">
        <v>11</v>
      </c>
      <c r="B136" t="s">
        <v>17</v>
      </c>
      <c r="C136">
        <v>413265</v>
      </c>
      <c r="D136" s="3">
        <v>5.0999999999999997E-2</v>
      </c>
      <c r="E136" t="s">
        <v>33</v>
      </c>
      <c r="I136" s="1"/>
    </row>
    <row r="137" spans="1:9" x14ac:dyDescent="0.3">
      <c r="A137" t="s">
        <v>11</v>
      </c>
      <c r="B137" t="s">
        <v>18</v>
      </c>
      <c r="C137">
        <v>292735</v>
      </c>
      <c r="D137" s="3">
        <v>5.3999999999999999E-2</v>
      </c>
      <c r="E137" t="s">
        <v>33</v>
      </c>
      <c r="I137" s="1"/>
    </row>
    <row r="138" spans="1:9" x14ac:dyDescent="0.3">
      <c r="A138" t="s">
        <v>11</v>
      </c>
      <c r="B138" t="s">
        <v>19</v>
      </c>
      <c r="C138">
        <v>296878</v>
      </c>
      <c r="D138" s="3">
        <v>7.4999999999999997E-2</v>
      </c>
      <c r="E138" t="s">
        <v>33</v>
      </c>
      <c r="I138" s="1"/>
    </row>
    <row r="139" spans="1:9" x14ac:dyDescent="0.3">
      <c r="A139" t="s">
        <v>11</v>
      </c>
      <c r="B139" t="s">
        <v>20</v>
      </c>
      <c r="C139">
        <v>230092</v>
      </c>
      <c r="D139" s="3">
        <v>6.8000000000000005E-2</v>
      </c>
      <c r="E139" t="s">
        <v>33</v>
      </c>
      <c r="I139" s="1"/>
    </row>
    <row r="140" spans="1:9" x14ac:dyDescent="0.3">
      <c r="A140" t="s">
        <v>11</v>
      </c>
      <c r="B140" t="s">
        <v>21</v>
      </c>
      <c r="C140">
        <v>234903</v>
      </c>
      <c r="D140" s="3">
        <v>6.9000000000000006E-2</v>
      </c>
      <c r="E140" t="s">
        <v>33</v>
      </c>
      <c r="I140" s="1"/>
    </row>
    <row r="141" spans="1:9" x14ac:dyDescent="0.3">
      <c r="A141" t="s">
        <v>11</v>
      </c>
      <c r="B141" t="s">
        <v>22</v>
      </c>
      <c r="C141">
        <v>133079</v>
      </c>
      <c r="D141" s="3">
        <v>7.0999999999999994E-2</v>
      </c>
      <c r="E141" t="s">
        <v>33</v>
      </c>
      <c r="I141" s="1"/>
    </row>
    <row r="142" spans="1:9" x14ac:dyDescent="0.3">
      <c r="A142" t="s">
        <v>11</v>
      </c>
      <c r="B142" t="s">
        <v>23</v>
      </c>
      <c r="C142">
        <v>319285</v>
      </c>
      <c r="D142" s="3">
        <v>6.6000000000000003E-2</v>
      </c>
      <c r="E142" t="s">
        <v>33</v>
      </c>
      <c r="I142" s="1"/>
    </row>
    <row r="143" spans="1:9" x14ac:dyDescent="0.3">
      <c r="A143" t="s">
        <v>11</v>
      </c>
      <c r="B143" t="s">
        <v>24</v>
      </c>
      <c r="C143">
        <v>260349</v>
      </c>
      <c r="D143" s="3">
        <v>7.4999999999999997E-2</v>
      </c>
      <c r="E143" t="s">
        <v>33</v>
      </c>
      <c r="I143" s="1"/>
    </row>
    <row r="144" spans="1:9" x14ac:dyDescent="0.3">
      <c r="A144" t="s">
        <v>11</v>
      </c>
      <c r="B144" t="s">
        <v>25</v>
      </c>
      <c r="C144">
        <v>155315</v>
      </c>
      <c r="D144" s="3">
        <v>7.1999999999999995E-2</v>
      </c>
      <c r="E144" t="s">
        <v>33</v>
      </c>
      <c r="I144" s="1"/>
    </row>
    <row r="145" spans="1:9" x14ac:dyDescent="0.3">
      <c r="A145" t="s">
        <v>11</v>
      </c>
      <c r="B145" t="s">
        <v>26</v>
      </c>
      <c r="C145">
        <v>443412</v>
      </c>
      <c r="D145" s="3">
        <v>6.2E-2</v>
      </c>
      <c r="E145" t="s">
        <v>33</v>
      </c>
      <c r="I145" s="1"/>
    </row>
    <row r="146" spans="1:9" x14ac:dyDescent="0.3">
      <c r="A146" t="s">
        <v>12</v>
      </c>
      <c r="B146" t="s">
        <v>15</v>
      </c>
      <c r="C146">
        <v>98156</v>
      </c>
      <c r="D146" s="3">
        <v>5.8000000000000003E-2</v>
      </c>
      <c r="E146" t="s">
        <v>33</v>
      </c>
      <c r="I146" s="1"/>
    </row>
    <row r="147" spans="1:9" x14ac:dyDescent="0.3">
      <c r="A147" t="s">
        <v>12</v>
      </c>
      <c r="B147" t="s">
        <v>16</v>
      </c>
      <c r="C147">
        <v>304765</v>
      </c>
      <c r="D147" s="3">
        <v>5.5E-2</v>
      </c>
      <c r="E147" t="s">
        <v>33</v>
      </c>
      <c r="I147" s="1"/>
    </row>
    <row r="148" spans="1:9" x14ac:dyDescent="0.3">
      <c r="A148" t="s">
        <v>12</v>
      </c>
      <c r="B148" t="s">
        <v>17</v>
      </c>
      <c r="C148">
        <v>447093</v>
      </c>
      <c r="D148" s="3">
        <v>5.1999999999999998E-2</v>
      </c>
      <c r="E148" t="s">
        <v>33</v>
      </c>
      <c r="I148" s="1"/>
    </row>
    <row r="149" spans="1:9" x14ac:dyDescent="0.3">
      <c r="A149" t="s">
        <v>12</v>
      </c>
      <c r="B149" t="s">
        <v>18</v>
      </c>
      <c r="C149">
        <v>119149</v>
      </c>
      <c r="D149" s="3">
        <v>7.3999999999999996E-2</v>
      </c>
      <c r="E149" t="s">
        <v>33</v>
      </c>
      <c r="I149" s="1"/>
    </row>
    <row r="150" spans="1:9" x14ac:dyDescent="0.3">
      <c r="A150" t="s">
        <v>12</v>
      </c>
      <c r="B150" t="s">
        <v>19</v>
      </c>
      <c r="C150">
        <v>397247</v>
      </c>
      <c r="D150" s="3">
        <v>5.2999999999999999E-2</v>
      </c>
      <c r="E150" t="s">
        <v>33</v>
      </c>
      <c r="I150" s="1"/>
    </row>
    <row r="151" spans="1:9" x14ac:dyDescent="0.3">
      <c r="A151" t="s">
        <v>12</v>
      </c>
      <c r="B151" t="s">
        <v>20</v>
      </c>
      <c r="C151">
        <v>261560</v>
      </c>
      <c r="D151" s="3">
        <v>5.6000000000000001E-2</v>
      </c>
      <c r="E151" t="s">
        <v>33</v>
      </c>
      <c r="I151" s="1"/>
    </row>
    <row r="152" spans="1:9" x14ac:dyDescent="0.3">
      <c r="A152" t="s">
        <v>12</v>
      </c>
      <c r="B152" t="s">
        <v>21</v>
      </c>
      <c r="C152">
        <v>346399</v>
      </c>
      <c r="D152" s="3">
        <v>7.1999999999999995E-2</v>
      </c>
      <c r="E152" t="s">
        <v>33</v>
      </c>
      <c r="I152" s="1"/>
    </row>
    <row r="153" spans="1:9" x14ac:dyDescent="0.3">
      <c r="A153" t="s">
        <v>12</v>
      </c>
      <c r="B153" t="s">
        <v>22</v>
      </c>
      <c r="C153">
        <v>378615</v>
      </c>
      <c r="D153" s="3">
        <v>0.06</v>
      </c>
      <c r="E153" t="s">
        <v>33</v>
      </c>
      <c r="I153" s="1"/>
    </row>
    <row r="154" spans="1:9" x14ac:dyDescent="0.3">
      <c r="A154" t="s">
        <v>12</v>
      </c>
      <c r="B154" t="s">
        <v>23</v>
      </c>
      <c r="C154">
        <v>115912</v>
      </c>
      <c r="D154" s="3">
        <v>5.7000000000000002E-2</v>
      </c>
      <c r="E154" t="s">
        <v>33</v>
      </c>
      <c r="I154" s="1"/>
    </row>
    <row r="155" spans="1:9" x14ac:dyDescent="0.3">
      <c r="A155" t="s">
        <v>12</v>
      </c>
      <c r="B155" t="s">
        <v>24</v>
      </c>
      <c r="C155">
        <v>437024</v>
      </c>
      <c r="D155" s="3">
        <v>7.1999999999999995E-2</v>
      </c>
      <c r="E155" t="s">
        <v>33</v>
      </c>
      <c r="I155" s="1"/>
    </row>
    <row r="156" spans="1:9" x14ac:dyDescent="0.3">
      <c r="A156" t="s">
        <v>12</v>
      </c>
      <c r="B156" t="s">
        <v>25</v>
      </c>
      <c r="C156">
        <v>268743</v>
      </c>
      <c r="D156" s="3">
        <v>5.6000000000000001E-2</v>
      </c>
      <c r="E156" t="s">
        <v>33</v>
      </c>
      <c r="I156" s="1"/>
    </row>
    <row r="157" spans="1:9" x14ac:dyDescent="0.3">
      <c r="A157" t="s">
        <v>12</v>
      </c>
      <c r="B157" t="s">
        <v>26</v>
      </c>
      <c r="C157">
        <v>142498</v>
      </c>
      <c r="D157" s="3">
        <v>5.8000000000000003E-2</v>
      </c>
      <c r="E157" t="s">
        <v>33</v>
      </c>
      <c r="I157" s="1"/>
    </row>
    <row r="158" spans="1:9" x14ac:dyDescent="0.3">
      <c r="A158" t="s">
        <v>13</v>
      </c>
      <c r="B158" t="s">
        <v>15</v>
      </c>
      <c r="C158">
        <v>92046</v>
      </c>
      <c r="D158" s="3">
        <v>6.7000000000000004E-2</v>
      </c>
      <c r="E158" t="s">
        <v>33</v>
      </c>
      <c r="I158" s="1"/>
    </row>
    <row r="159" spans="1:9" x14ac:dyDescent="0.3">
      <c r="A159" t="s">
        <v>13</v>
      </c>
      <c r="B159" t="s">
        <v>16</v>
      </c>
      <c r="C159">
        <v>305268</v>
      </c>
      <c r="D159" s="3">
        <v>7.1999999999999995E-2</v>
      </c>
      <c r="E159" t="s">
        <v>33</v>
      </c>
      <c r="I159" s="1"/>
    </row>
    <row r="160" spans="1:9" x14ac:dyDescent="0.3">
      <c r="A160" t="s">
        <v>13</v>
      </c>
      <c r="B160" t="s">
        <v>17</v>
      </c>
      <c r="C160">
        <v>354104</v>
      </c>
      <c r="D160" s="3">
        <v>6.3E-2</v>
      </c>
      <c r="E160" t="s">
        <v>33</v>
      </c>
      <c r="I160" s="1"/>
    </row>
    <row r="161" spans="1:9" x14ac:dyDescent="0.3">
      <c r="A161" t="s">
        <v>13</v>
      </c>
      <c r="B161" t="s">
        <v>18</v>
      </c>
      <c r="C161">
        <v>403892</v>
      </c>
      <c r="D161" s="3">
        <v>4.9000000000000002E-2</v>
      </c>
      <c r="E161" t="s">
        <v>33</v>
      </c>
      <c r="I161" s="1"/>
    </row>
    <row r="162" spans="1:9" x14ac:dyDescent="0.3">
      <c r="A162" t="s">
        <v>13</v>
      </c>
      <c r="B162" t="s">
        <v>19</v>
      </c>
      <c r="C162">
        <v>391037</v>
      </c>
      <c r="D162" s="3">
        <v>5.5E-2</v>
      </c>
      <c r="E162" t="s">
        <v>33</v>
      </c>
      <c r="I162" s="1"/>
    </row>
    <row r="163" spans="1:9" x14ac:dyDescent="0.3">
      <c r="A163" t="s">
        <v>13</v>
      </c>
      <c r="B163" t="s">
        <v>20</v>
      </c>
      <c r="C163">
        <v>315801</v>
      </c>
      <c r="D163" s="3">
        <v>5.1999999999999998E-2</v>
      </c>
      <c r="E163" t="s">
        <v>33</v>
      </c>
      <c r="I163" s="1"/>
    </row>
    <row r="164" spans="1:9" x14ac:dyDescent="0.3">
      <c r="A164" t="s">
        <v>13</v>
      </c>
      <c r="B164" t="s">
        <v>21</v>
      </c>
      <c r="C164">
        <v>390374</v>
      </c>
      <c r="D164" s="3">
        <v>7.4999999999999997E-2</v>
      </c>
      <c r="E164" t="s">
        <v>33</v>
      </c>
      <c r="I164" s="1"/>
    </row>
    <row r="165" spans="1:9" x14ac:dyDescent="0.3">
      <c r="A165" t="s">
        <v>13</v>
      </c>
      <c r="B165" t="s">
        <v>22</v>
      </c>
      <c r="C165">
        <v>231823</v>
      </c>
      <c r="D165" s="3">
        <v>4.4999999999999998E-2</v>
      </c>
      <c r="E165" t="s">
        <v>33</v>
      </c>
      <c r="I165" s="1"/>
    </row>
    <row r="166" spans="1:9" x14ac:dyDescent="0.3">
      <c r="A166" t="s">
        <v>13</v>
      </c>
      <c r="B166" t="s">
        <v>23</v>
      </c>
      <c r="C166">
        <v>442084</v>
      </c>
      <c r="D166" s="3">
        <v>0.06</v>
      </c>
      <c r="E166" t="s">
        <v>33</v>
      </c>
      <c r="I166" s="1"/>
    </row>
    <row r="167" spans="1:9" x14ac:dyDescent="0.3">
      <c r="A167" t="s">
        <v>13</v>
      </c>
      <c r="B167" t="s">
        <v>24</v>
      </c>
      <c r="C167">
        <v>296099</v>
      </c>
      <c r="D167" s="3">
        <v>4.9000000000000002E-2</v>
      </c>
      <c r="E167" t="s">
        <v>33</v>
      </c>
      <c r="I167" s="1"/>
    </row>
    <row r="168" spans="1:9" x14ac:dyDescent="0.3">
      <c r="A168" t="s">
        <v>13</v>
      </c>
      <c r="B168" t="s">
        <v>25</v>
      </c>
      <c r="C168">
        <v>272433</v>
      </c>
      <c r="D168" s="3">
        <v>6.0999999999999999E-2</v>
      </c>
      <c r="E168" t="s">
        <v>33</v>
      </c>
      <c r="I168" s="1"/>
    </row>
    <row r="169" spans="1:9" x14ac:dyDescent="0.3">
      <c r="A169" t="s">
        <v>13</v>
      </c>
      <c r="B169" t="s">
        <v>26</v>
      </c>
      <c r="C169">
        <v>440999</v>
      </c>
      <c r="D169" s="3">
        <v>5.8999999999999997E-2</v>
      </c>
      <c r="E169" t="s">
        <v>33</v>
      </c>
      <c r="I169" s="1"/>
    </row>
    <row r="170" spans="1:9" x14ac:dyDescent="0.3">
      <c r="A170" t="s">
        <v>14</v>
      </c>
      <c r="B170" t="s">
        <v>15</v>
      </c>
      <c r="C170">
        <v>119100</v>
      </c>
      <c r="D170" s="3">
        <v>5.8999999999999997E-2</v>
      </c>
      <c r="E170" t="s">
        <v>33</v>
      </c>
      <c r="I170" s="1"/>
    </row>
    <row r="171" spans="1:9" x14ac:dyDescent="0.3">
      <c r="A171" t="s">
        <v>14</v>
      </c>
      <c r="B171" t="s">
        <v>16</v>
      </c>
      <c r="C171">
        <v>160118</v>
      </c>
      <c r="D171" s="3">
        <v>6.9000000000000006E-2</v>
      </c>
      <c r="E171" t="s">
        <v>33</v>
      </c>
      <c r="I171" s="1"/>
    </row>
    <row r="172" spans="1:9" x14ac:dyDescent="0.3">
      <c r="A172" t="s">
        <v>14</v>
      </c>
      <c r="B172" t="s">
        <v>17</v>
      </c>
      <c r="C172">
        <v>211696</v>
      </c>
      <c r="D172" s="3">
        <v>4.5999999999999999E-2</v>
      </c>
      <c r="E172" t="s">
        <v>33</v>
      </c>
      <c r="I172" s="1"/>
    </row>
    <row r="173" spans="1:9" x14ac:dyDescent="0.3">
      <c r="A173" t="s">
        <v>14</v>
      </c>
      <c r="B173" t="s">
        <v>18</v>
      </c>
      <c r="C173">
        <v>141067</v>
      </c>
      <c r="D173" s="3">
        <v>5.2999999999999999E-2</v>
      </c>
      <c r="E173" t="s">
        <v>33</v>
      </c>
      <c r="I173" s="1"/>
    </row>
    <row r="174" spans="1:9" x14ac:dyDescent="0.3">
      <c r="A174" t="s">
        <v>14</v>
      </c>
      <c r="B174" t="s">
        <v>19</v>
      </c>
      <c r="C174">
        <v>191031</v>
      </c>
      <c r="D174" s="3">
        <v>5.5E-2</v>
      </c>
      <c r="E174" t="s">
        <v>33</v>
      </c>
      <c r="I174" s="1"/>
    </row>
    <row r="175" spans="1:9" x14ac:dyDescent="0.3">
      <c r="A175" t="s">
        <v>14</v>
      </c>
      <c r="B175" t="s">
        <v>20</v>
      </c>
      <c r="C175">
        <v>327793</v>
      </c>
      <c r="D175" s="3">
        <v>5.5E-2</v>
      </c>
      <c r="E175" t="s">
        <v>33</v>
      </c>
      <c r="I175" s="1"/>
    </row>
    <row r="176" spans="1:9" x14ac:dyDescent="0.3">
      <c r="A176" t="s">
        <v>14</v>
      </c>
      <c r="B176" t="s">
        <v>21</v>
      </c>
      <c r="C176">
        <v>367518</v>
      </c>
      <c r="D176" s="3">
        <v>6.2E-2</v>
      </c>
      <c r="E176" t="s">
        <v>33</v>
      </c>
      <c r="I176" s="1"/>
    </row>
    <row r="177" spans="1:9" x14ac:dyDescent="0.3">
      <c r="A177" t="s">
        <v>14</v>
      </c>
      <c r="B177" t="s">
        <v>22</v>
      </c>
      <c r="C177">
        <v>228175</v>
      </c>
      <c r="D177" s="3">
        <v>4.8000000000000001E-2</v>
      </c>
      <c r="E177" t="s">
        <v>33</v>
      </c>
      <c r="I177" s="1"/>
    </row>
    <row r="178" spans="1:9" x14ac:dyDescent="0.3">
      <c r="A178" t="s">
        <v>14</v>
      </c>
      <c r="B178" t="s">
        <v>23</v>
      </c>
      <c r="C178">
        <v>329154</v>
      </c>
      <c r="D178" s="3">
        <v>6.7000000000000004E-2</v>
      </c>
      <c r="E178" t="s">
        <v>33</v>
      </c>
      <c r="I178" s="1"/>
    </row>
    <row r="179" spans="1:9" x14ac:dyDescent="0.3">
      <c r="A179" t="s">
        <v>14</v>
      </c>
      <c r="B179" t="s">
        <v>24</v>
      </c>
      <c r="C179">
        <v>173572</v>
      </c>
      <c r="D179" s="3">
        <v>5.2999999999999999E-2</v>
      </c>
      <c r="E179" t="s">
        <v>33</v>
      </c>
      <c r="I179" s="1"/>
    </row>
    <row r="180" spans="1:9" x14ac:dyDescent="0.3">
      <c r="A180" t="s">
        <v>14</v>
      </c>
      <c r="B180" t="s">
        <v>25</v>
      </c>
      <c r="C180">
        <v>297040</v>
      </c>
      <c r="D180" s="3">
        <v>5.5E-2</v>
      </c>
      <c r="E180" t="s">
        <v>33</v>
      </c>
      <c r="I180" s="1"/>
    </row>
    <row r="181" spans="1:9" x14ac:dyDescent="0.3">
      <c r="A181" t="s">
        <v>14</v>
      </c>
      <c r="B181" t="s">
        <v>26</v>
      </c>
      <c r="C181">
        <v>349821</v>
      </c>
      <c r="D181" s="3">
        <v>7.0000000000000007E-2</v>
      </c>
      <c r="E181" t="s">
        <v>33</v>
      </c>
      <c r="I181" s="1"/>
    </row>
    <row r="182" spans="1:9" x14ac:dyDescent="0.3">
      <c r="D182" s="4"/>
    </row>
    <row r="183" spans="1:9" x14ac:dyDescent="0.3">
      <c r="D183" s="4"/>
    </row>
    <row r="184" spans="1:9" x14ac:dyDescent="0.3">
      <c r="D184" s="4"/>
    </row>
    <row r="185" spans="1:9" x14ac:dyDescent="0.3">
      <c r="D185" s="4"/>
    </row>
    <row r="186" spans="1:9" x14ac:dyDescent="0.3">
      <c r="D186" s="4"/>
    </row>
    <row r="187" spans="1:9" x14ac:dyDescent="0.3">
      <c r="D187" s="4"/>
    </row>
    <row r="188" spans="1:9" x14ac:dyDescent="0.3">
      <c r="D188" s="4"/>
    </row>
    <row r="189" spans="1:9" x14ac:dyDescent="0.3">
      <c r="D189" s="4"/>
    </row>
    <row r="190" spans="1:9" x14ac:dyDescent="0.3">
      <c r="D190" s="4"/>
    </row>
    <row r="191" spans="1:9" x14ac:dyDescent="0.3">
      <c r="D191" s="4"/>
    </row>
    <row r="192" spans="1:9" x14ac:dyDescent="0.3">
      <c r="D192" s="4"/>
    </row>
    <row r="193" spans="4:4" x14ac:dyDescent="0.3">
      <c r="D193" s="4"/>
    </row>
    <row r="194" spans="4:4" x14ac:dyDescent="0.3">
      <c r="D194" s="4"/>
    </row>
    <row r="195" spans="4:4" x14ac:dyDescent="0.3">
      <c r="D195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E78B-314B-4C10-BD75-B7D5F1A084D1}">
  <dimension ref="A1:I195"/>
  <sheetViews>
    <sheetView topLeftCell="A2" workbookViewId="0">
      <selection activeCell="I148" sqref="I148:I181"/>
    </sheetView>
  </sheetViews>
  <sheetFormatPr defaultRowHeight="14.4" x14ac:dyDescent="0.3"/>
  <cols>
    <col min="1" max="1" width="25.33203125" customWidth="1"/>
    <col min="2" max="2" width="22" customWidth="1"/>
    <col min="3" max="3" width="18.44140625" customWidth="1"/>
    <col min="4" max="4" width="22.5546875" customWidth="1"/>
    <col min="5" max="5" width="21" customWidth="1"/>
    <col min="6" max="6" width="13.5546875" customWidth="1"/>
    <col min="7" max="7" width="20.109375" customWidth="1"/>
    <col min="8" max="8" width="19.109375" customWidth="1"/>
  </cols>
  <sheetData>
    <row r="1" spans="1:9" x14ac:dyDescent="0.3">
      <c r="A1" s="1" t="s">
        <v>28</v>
      </c>
      <c r="B1" s="1" t="s">
        <v>27</v>
      </c>
      <c r="C1" t="s">
        <v>29</v>
      </c>
      <c r="D1" t="s">
        <v>30</v>
      </c>
      <c r="E1" t="s">
        <v>34</v>
      </c>
      <c r="F1" t="s">
        <v>35</v>
      </c>
      <c r="G1" t="s">
        <v>31</v>
      </c>
      <c r="H1" t="s">
        <v>36</v>
      </c>
      <c r="I1" t="s">
        <v>44</v>
      </c>
    </row>
    <row r="2" spans="1:9" x14ac:dyDescent="0.3">
      <c r="A2" s="2" t="s">
        <v>0</v>
      </c>
      <c r="B2" s="2" t="s">
        <v>15</v>
      </c>
      <c r="C2">
        <v>315757</v>
      </c>
      <c r="D2">
        <v>259375</v>
      </c>
      <c r="E2">
        <f>MAX(D2 - C2, 0)</f>
        <v>0</v>
      </c>
      <c r="F2" t="str">
        <f>IF(E2 &gt; 0, "BREACH", "COMPLIANT")</f>
        <v>COMPLIANT</v>
      </c>
      <c r="G2" s="3">
        <v>4.7E-2</v>
      </c>
      <c r="H2">
        <f>E2 * G2</f>
        <v>0</v>
      </c>
      <c r="I2" s="1" t="s">
        <v>45</v>
      </c>
    </row>
    <row r="3" spans="1:9" x14ac:dyDescent="0.3">
      <c r="A3" s="2" t="s">
        <v>0</v>
      </c>
      <c r="B3" s="2" t="s">
        <v>16</v>
      </c>
      <c r="C3">
        <v>397030</v>
      </c>
      <c r="D3">
        <v>300602</v>
      </c>
      <c r="E3">
        <f t="shared" ref="E3:E66" si="0">MAX(D3 - C3, 0)</f>
        <v>0</v>
      </c>
      <c r="F3" t="str">
        <f t="shared" ref="F3:F66" si="1">IF(E3 &gt; 0, "BREACH", "COMPLIANT")</f>
        <v>COMPLIANT</v>
      </c>
      <c r="G3" s="3">
        <v>0.05</v>
      </c>
      <c r="H3">
        <f t="shared" ref="H3:H66" si="2">E3 * G3</f>
        <v>0</v>
      </c>
      <c r="I3" s="1" t="s">
        <v>45</v>
      </c>
    </row>
    <row r="4" spans="1:9" x14ac:dyDescent="0.3">
      <c r="A4" s="2" t="s">
        <v>0</v>
      </c>
      <c r="B4" s="2" t="s">
        <v>17</v>
      </c>
      <c r="C4">
        <v>235787</v>
      </c>
      <c r="D4">
        <v>127560</v>
      </c>
      <c r="E4">
        <f t="shared" si="0"/>
        <v>0</v>
      </c>
      <c r="F4" t="str">
        <f t="shared" si="1"/>
        <v>COMPLIANT</v>
      </c>
      <c r="G4" s="3">
        <v>5.6000000000000001E-2</v>
      </c>
      <c r="H4">
        <f t="shared" si="2"/>
        <v>0</v>
      </c>
      <c r="I4" s="1" t="s">
        <v>45</v>
      </c>
    </row>
    <row r="5" spans="1:9" x14ac:dyDescent="0.3">
      <c r="A5" s="2" t="s">
        <v>0</v>
      </c>
      <c r="B5" s="2" t="s">
        <v>18</v>
      </c>
      <c r="C5">
        <v>155094</v>
      </c>
      <c r="D5">
        <v>397252</v>
      </c>
      <c r="E5">
        <f t="shared" si="0"/>
        <v>242158</v>
      </c>
      <c r="F5" t="str">
        <f t="shared" si="1"/>
        <v>BREACH</v>
      </c>
      <c r="G5" s="3">
        <v>5.5E-2</v>
      </c>
      <c r="H5">
        <f t="shared" si="2"/>
        <v>13318.69</v>
      </c>
      <c r="I5" s="1" t="s">
        <v>45</v>
      </c>
    </row>
    <row r="6" spans="1:9" x14ac:dyDescent="0.3">
      <c r="A6" s="2" t="s">
        <v>0</v>
      </c>
      <c r="B6" s="2" t="s">
        <v>19</v>
      </c>
      <c r="C6">
        <v>448663</v>
      </c>
      <c r="D6">
        <v>168695</v>
      </c>
      <c r="E6">
        <f t="shared" si="0"/>
        <v>0</v>
      </c>
      <c r="F6" t="str">
        <f t="shared" si="1"/>
        <v>COMPLIANT</v>
      </c>
      <c r="G6" s="3">
        <v>5.3999999999999999E-2</v>
      </c>
      <c r="H6">
        <f t="shared" si="2"/>
        <v>0</v>
      </c>
      <c r="I6" s="1" t="s">
        <v>45</v>
      </c>
    </row>
    <row r="7" spans="1:9" x14ac:dyDescent="0.3">
      <c r="A7" s="2" t="s">
        <v>0</v>
      </c>
      <c r="B7" s="2" t="s">
        <v>20</v>
      </c>
      <c r="C7">
        <v>415920</v>
      </c>
      <c r="D7">
        <v>211350</v>
      </c>
      <c r="E7">
        <f t="shared" si="0"/>
        <v>0</v>
      </c>
      <c r="F7" t="str">
        <f t="shared" si="1"/>
        <v>COMPLIANT</v>
      </c>
      <c r="G7" s="3">
        <v>7.3999999999999996E-2</v>
      </c>
      <c r="H7">
        <f t="shared" si="2"/>
        <v>0</v>
      </c>
      <c r="I7" s="1" t="s">
        <v>45</v>
      </c>
    </row>
    <row r="8" spans="1:9" x14ac:dyDescent="0.3">
      <c r="A8" s="2" t="s">
        <v>0</v>
      </c>
      <c r="B8" s="2" t="s">
        <v>21</v>
      </c>
      <c r="C8">
        <v>250402</v>
      </c>
      <c r="D8">
        <v>171534</v>
      </c>
      <c r="E8">
        <f t="shared" si="0"/>
        <v>0</v>
      </c>
      <c r="F8" t="str">
        <f t="shared" si="1"/>
        <v>COMPLIANT</v>
      </c>
      <c r="G8" s="3">
        <v>6.3E-2</v>
      </c>
      <c r="H8">
        <f t="shared" si="2"/>
        <v>0</v>
      </c>
      <c r="I8" s="1" t="s">
        <v>45</v>
      </c>
    </row>
    <row r="9" spans="1:9" x14ac:dyDescent="0.3">
      <c r="A9" s="2" t="s">
        <v>0</v>
      </c>
      <c r="B9" s="2" t="s">
        <v>22</v>
      </c>
      <c r="C9">
        <v>317265</v>
      </c>
      <c r="D9">
        <v>151702</v>
      </c>
      <c r="E9">
        <f t="shared" si="0"/>
        <v>0</v>
      </c>
      <c r="F9" t="str">
        <f t="shared" si="1"/>
        <v>COMPLIANT</v>
      </c>
      <c r="G9" s="3">
        <v>6.8000000000000005E-2</v>
      </c>
      <c r="H9">
        <f t="shared" si="2"/>
        <v>0</v>
      </c>
      <c r="I9" s="1" t="s">
        <v>45</v>
      </c>
    </row>
    <row r="10" spans="1:9" x14ac:dyDescent="0.3">
      <c r="A10" s="2" t="s">
        <v>0</v>
      </c>
      <c r="B10" s="2" t="s">
        <v>23</v>
      </c>
      <c r="C10">
        <v>311547</v>
      </c>
      <c r="D10">
        <v>354207</v>
      </c>
      <c r="E10">
        <f t="shared" si="0"/>
        <v>42660</v>
      </c>
      <c r="F10" t="str">
        <f t="shared" si="1"/>
        <v>BREACH</v>
      </c>
      <c r="G10" s="3">
        <v>4.8000000000000001E-2</v>
      </c>
      <c r="H10">
        <f t="shared" si="2"/>
        <v>2047.68</v>
      </c>
      <c r="I10" s="1" t="s">
        <v>45</v>
      </c>
    </row>
    <row r="11" spans="1:9" x14ac:dyDescent="0.3">
      <c r="A11" s="2" t="s">
        <v>0</v>
      </c>
      <c r="B11" s="2" t="s">
        <v>24</v>
      </c>
      <c r="C11">
        <v>140424</v>
      </c>
      <c r="D11">
        <v>330317</v>
      </c>
      <c r="E11">
        <f t="shared" si="0"/>
        <v>189893</v>
      </c>
      <c r="F11" t="str">
        <f t="shared" si="1"/>
        <v>BREACH</v>
      </c>
      <c r="G11" s="3">
        <v>7.2999999999999995E-2</v>
      </c>
      <c r="H11">
        <f t="shared" si="2"/>
        <v>13862.188999999998</v>
      </c>
      <c r="I11" s="1" t="s">
        <v>45</v>
      </c>
    </row>
    <row r="12" spans="1:9" x14ac:dyDescent="0.3">
      <c r="A12" s="2" t="s">
        <v>0</v>
      </c>
      <c r="B12" s="2" t="s">
        <v>25</v>
      </c>
      <c r="C12">
        <v>137588</v>
      </c>
      <c r="D12">
        <v>404312</v>
      </c>
      <c r="E12">
        <f t="shared" si="0"/>
        <v>266724</v>
      </c>
      <c r="F12" t="str">
        <f t="shared" si="1"/>
        <v>BREACH</v>
      </c>
      <c r="G12" s="3">
        <v>5.5E-2</v>
      </c>
      <c r="H12">
        <f t="shared" si="2"/>
        <v>14669.82</v>
      </c>
      <c r="I12" s="1" t="s">
        <v>45</v>
      </c>
    </row>
    <row r="13" spans="1:9" x14ac:dyDescent="0.3">
      <c r="A13" s="2" t="s">
        <v>0</v>
      </c>
      <c r="B13" s="2" t="s">
        <v>26</v>
      </c>
      <c r="C13">
        <v>355541</v>
      </c>
      <c r="D13">
        <v>156566</v>
      </c>
      <c r="E13">
        <f t="shared" si="0"/>
        <v>0</v>
      </c>
      <c r="F13" t="str">
        <f t="shared" si="1"/>
        <v>COMPLIANT</v>
      </c>
      <c r="G13" s="3">
        <v>7.4999999999999997E-2</v>
      </c>
      <c r="H13">
        <f t="shared" si="2"/>
        <v>0</v>
      </c>
      <c r="I13" s="1" t="s">
        <v>45</v>
      </c>
    </row>
    <row r="14" spans="1:9" x14ac:dyDescent="0.3">
      <c r="A14" s="2" t="s">
        <v>1</v>
      </c>
      <c r="B14" s="2" t="s">
        <v>15</v>
      </c>
      <c r="C14">
        <v>258365</v>
      </c>
      <c r="D14">
        <v>423447</v>
      </c>
      <c r="E14">
        <f t="shared" si="0"/>
        <v>165082</v>
      </c>
      <c r="F14" t="str">
        <f t="shared" si="1"/>
        <v>BREACH</v>
      </c>
      <c r="G14" s="3">
        <v>5.8999999999999997E-2</v>
      </c>
      <c r="H14">
        <f t="shared" si="2"/>
        <v>9739.8379999999997</v>
      </c>
      <c r="I14" s="1" t="s">
        <v>45</v>
      </c>
    </row>
    <row r="15" spans="1:9" x14ac:dyDescent="0.3">
      <c r="A15" s="2" t="s">
        <v>1</v>
      </c>
      <c r="B15" s="2" t="s">
        <v>16</v>
      </c>
      <c r="C15">
        <v>211567</v>
      </c>
      <c r="D15">
        <v>365962</v>
      </c>
      <c r="E15">
        <f t="shared" si="0"/>
        <v>154395</v>
      </c>
      <c r="F15" t="str">
        <f t="shared" si="1"/>
        <v>BREACH</v>
      </c>
      <c r="G15" s="3">
        <v>7.1999999999999995E-2</v>
      </c>
      <c r="H15">
        <f t="shared" si="2"/>
        <v>11116.439999999999</v>
      </c>
      <c r="I15" s="1" t="s">
        <v>45</v>
      </c>
    </row>
    <row r="16" spans="1:9" x14ac:dyDescent="0.3">
      <c r="A16" s="2" t="s">
        <v>1</v>
      </c>
      <c r="B16" s="2" t="s">
        <v>17</v>
      </c>
      <c r="C16">
        <v>111943</v>
      </c>
      <c r="D16">
        <v>185857</v>
      </c>
      <c r="E16">
        <f t="shared" si="0"/>
        <v>73914</v>
      </c>
      <c r="F16" t="str">
        <f t="shared" si="1"/>
        <v>BREACH</v>
      </c>
      <c r="G16" s="3">
        <v>4.5999999999999999E-2</v>
      </c>
      <c r="H16">
        <f t="shared" si="2"/>
        <v>3400.0439999999999</v>
      </c>
      <c r="I16" s="1" t="s">
        <v>45</v>
      </c>
    </row>
    <row r="17" spans="1:9" x14ac:dyDescent="0.3">
      <c r="A17" s="2" t="s">
        <v>1</v>
      </c>
      <c r="B17" s="2" t="s">
        <v>18</v>
      </c>
      <c r="C17">
        <v>343316</v>
      </c>
      <c r="D17">
        <v>308437</v>
      </c>
      <c r="E17">
        <f t="shared" si="0"/>
        <v>0</v>
      </c>
      <c r="F17" t="str">
        <f t="shared" si="1"/>
        <v>COMPLIANT</v>
      </c>
      <c r="G17" s="3">
        <v>7.1999999999999995E-2</v>
      </c>
      <c r="H17">
        <f t="shared" si="2"/>
        <v>0</v>
      </c>
      <c r="I17" s="1" t="s">
        <v>45</v>
      </c>
    </row>
    <row r="18" spans="1:9" x14ac:dyDescent="0.3">
      <c r="A18" s="2" t="s">
        <v>1</v>
      </c>
      <c r="B18" s="2" t="s">
        <v>19</v>
      </c>
      <c r="C18">
        <v>161391</v>
      </c>
      <c r="D18">
        <v>199746</v>
      </c>
      <c r="E18">
        <f t="shared" si="0"/>
        <v>38355</v>
      </c>
      <c r="F18" t="str">
        <f t="shared" si="1"/>
        <v>BREACH</v>
      </c>
      <c r="G18" s="3">
        <v>7.0000000000000007E-2</v>
      </c>
      <c r="H18">
        <f t="shared" si="2"/>
        <v>2684.8500000000004</v>
      </c>
      <c r="I18" s="1" t="s">
        <v>45</v>
      </c>
    </row>
    <row r="19" spans="1:9" x14ac:dyDescent="0.3">
      <c r="A19" s="2" t="s">
        <v>1</v>
      </c>
      <c r="B19" s="2" t="s">
        <v>20</v>
      </c>
      <c r="C19">
        <v>126187</v>
      </c>
      <c r="D19">
        <v>409834</v>
      </c>
      <c r="E19">
        <f t="shared" si="0"/>
        <v>283647</v>
      </c>
      <c r="F19" t="str">
        <f t="shared" si="1"/>
        <v>BREACH</v>
      </c>
      <c r="G19" s="3">
        <v>6.3E-2</v>
      </c>
      <c r="H19">
        <f t="shared" si="2"/>
        <v>17869.760999999999</v>
      </c>
      <c r="I19" s="1" t="s">
        <v>45</v>
      </c>
    </row>
    <row r="20" spans="1:9" x14ac:dyDescent="0.3">
      <c r="A20" s="2" t="s">
        <v>1</v>
      </c>
      <c r="B20" s="2" t="s">
        <v>21</v>
      </c>
      <c r="C20">
        <v>273723</v>
      </c>
      <c r="D20">
        <v>147433</v>
      </c>
      <c r="E20">
        <f t="shared" si="0"/>
        <v>0</v>
      </c>
      <c r="F20" t="str">
        <f t="shared" si="1"/>
        <v>COMPLIANT</v>
      </c>
      <c r="G20" s="3">
        <v>5.2999999999999999E-2</v>
      </c>
      <c r="H20">
        <f t="shared" si="2"/>
        <v>0</v>
      </c>
      <c r="I20" s="1" t="s">
        <v>45</v>
      </c>
    </row>
    <row r="21" spans="1:9" x14ac:dyDescent="0.3">
      <c r="A21" s="2" t="s">
        <v>1</v>
      </c>
      <c r="B21" s="2" t="s">
        <v>22</v>
      </c>
      <c r="C21">
        <v>305587</v>
      </c>
      <c r="D21">
        <v>349356</v>
      </c>
      <c r="E21">
        <f t="shared" si="0"/>
        <v>43769</v>
      </c>
      <c r="F21" t="str">
        <f t="shared" si="1"/>
        <v>BREACH</v>
      </c>
      <c r="G21" s="3">
        <v>0.05</v>
      </c>
      <c r="H21">
        <f t="shared" si="2"/>
        <v>2188.4500000000003</v>
      </c>
      <c r="I21" s="1" t="s">
        <v>45</v>
      </c>
    </row>
    <row r="22" spans="1:9" x14ac:dyDescent="0.3">
      <c r="A22" s="2" t="s">
        <v>1</v>
      </c>
      <c r="B22" s="2" t="s">
        <v>23</v>
      </c>
      <c r="C22">
        <v>243064</v>
      </c>
      <c r="D22">
        <v>117336</v>
      </c>
      <c r="E22">
        <f t="shared" si="0"/>
        <v>0</v>
      </c>
      <c r="F22" t="str">
        <f t="shared" si="1"/>
        <v>COMPLIANT</v>
      </c>
      <c r="G22" s="3">
        <v>7.2999999999999995E-2</v>
      </c>
      <c r="H22">
        <f t="shared" si="2"/>
        <v>0</v>
      </c>
      <c r="I22" s="1" t="s">
        <v>45</v>
      </c>
    </row>
    <row r="23" spans="1:9" x14ac:dyDescent="0.3">
      <c r="A23" s="2" t="s">
        <v>1</v>
      </c>
      <c r="B23" s="2" t="s">
        <v>24</v>
      </c>
      <c r="C23">
        <v>371729</v>
      </c>
      <c r="D23">
        <v>102942</v>
      </c>
      <c r="E23">
        <f t="shared" si="0"/>
        <v>0</v>
      </c>
      <c r="F23" t="str">
        <f t="shared" si="1"/>
        <v>COMPLIANT</v>
      </c>
      <c r="G23" s="3">
        <v>5.0999999999999997E-2</v>
      </c>
      <c r="H23">
        <f t="shared" si="2"/>
        <v>0</v>
      </c>
      <c r="I23" s="1" t="s">
        <v>45</v>
      </c>
    </row>
    <row r="24" spans="1:9" x14ac:dyDescent="0.3">
      <c r="A24" s="2" t="s">
        <v>1</v>
      </c>
      <c r="B24" s="2" t="s">
        <v>25</v>
      </c>
      <c r="C24">
        <v>250710</v>
      </c>
      <c r="D24">
        <v>245348</v>
      </c>
      <c r="E24">
        <f t="shared" si="0"/>
        <v>0</v>
      </c>
      <c r="F24" t="str">
        <f t="shared" si="1"/>
        <v>COMPLIANT</v>
      </c>
      <c r="G24" s="3">
        <v>5.6000000000000001E-2</v>
      </c>
      <c r="H24">
        <f t="shared" si="2"/>
        <v>0</v>
      </c>
      <c r="I24" s="1" t="s">
        <v>45</v>
      </c>
    </row>
    <row r="25" spans="1:9" x14ac:dyDescent="0.3">
      <c r="A25" s="2" t="s">
        <v>1</v>
      </c>
      <c r="B25" s="2" t="s">
        <v>26</v>
      </c>
      <c r="C25">
        <v>329345</v>
      </c>
      <c r="D25">
        <v>377888</v>
      </c>
      <c r="E25">
        <f t="shared" si="0"/>
        <v>48543</v>
      </c>
      <c r="F25" t="str">
        <f t="shared" si="1"/>
        <v>BREACH</v>
      </c>
      <c r="G25" s="3">
        <v>4.8000000000000001E-2</v>
      </c>
      <c r="H25">
        <f t="shared" si="2"/>
        <v>2330.0639999999999</v>
      </c>
      <c r="I25" s="1" t="s">
        <v>45</v>
      </c>
    </row>
    <row r="26" spans="1:9" x14ac:dyDescent="0.3">
      <c r="A26" t="s">
        <v>2</v>
      </c>
      <c r="B26" t="s">
        <v>15</v>
      </c>
      <c r="C26">
        <v>172095</v>
      </c>
      <c r="D26">
        <v>115003</v>
      </c>
      <c r="E26">
        <f t="shared" si="0"/>
        <v>0</v>
      </c>
      <c r="F26" t="str">
        <f t="shared" si="1"/>
        <v>COMPLIANT</v>
      </c>
      <c r="G26" s="3">
        <v>6.3E-2</v>
      </c>
      <c r="H26">
        <f t="shared" si="2"/>
        <v>0</v>
      </c>
      <c r="I26" s="1" t="s">
        <v>45</v>
      </c>
    </row>
    <row r="27" spans="1:9" x14ac:dyDescent="0.3">
      <c r="A27" t="s">
        <v>2</v>
      </c>
      <c r="B27" t="s">
        <v>16</v>
      </c>
      <c r="C27">
        <v>311738</v>
      </c>
      <c r="D27">
        <v>111798</v>
      </c>
      <c r="E27">
        <f t="shared" si="0"/>
        <v>0</v>
      </c>
      <c r="F27" t="str">
        <f t="shared" si="1"/>
        <v>COMPLIANT</v>
      </c>
      <c r="G27" s="3">
        <v>6.2E-2</v>
      </c>
      <c r="H27">
        <f t="shared" si="2"/>
        <v>0</v>
      </c>
      <c r="I27" s="1" t="s">
        <v>45</v>
      </c>
    </row>
    <row r="28" spans="1:9" x14ac:dyDescent="0.3">
      <c r="A28" t="s">
        <v>2</v>
      </c>
      <c r="B28" t="s">
        <v>17</v>
      </c>
      <c r="C28">
        <v>291786</v>
      </c>
      <c r="D28">
        <v>284975</v>
      </c>
      <c r="E28">
        <f t="shared" si="0"/>
        <v>0</v>
      </c>
      <c r="F28" t="str">
        <f t="shared" si="1"/>
        <v>COMPLIANT</v>
      </c>
      <c r="G28" s="3">
        <v>7.0000000000000007E-2</v>
      </c>
      <c r="H28">
        <f t="shared" si="2"/>
        <v>0</v>
      </c>
      <c r="I28" s="1" t="s">
        <v>45</v>
      </c>
    </row>
    <row r="29" spans="1:9" x14ac:dyDescent="0.3">
      <c r="A29" t="s">
        <v>2</v>
      </c>
      <c r="B29" t="s">
        <v>18</v>
      </c>
      <c r="C29">
        <v>140390</v>
      </c>
      <c r="D29">
        <v>151657</v>
      </c>
      <c r="E29">
        <f t="shared" si="0"/>
        <v>11267</v>
      </c>
      <c r="F29" t="str">
        <f t="shared" si="1"/>
        <v>BREACH</v>
      </c>
      <c r="G29" s="3">
        <v>7.4999999999999997E-2</v>
      </c>
      <c r="H29">
        <f t="shared" si="2"/>
        <v>845.02499999999998</v>
      </c>
      <c r="I29" s="1" t="s">
        <v>45</v>
      </c>
    </row>
    <row r="30" spans="1:9" x14ac:dyDescent="0.3">
      <c r="A30" t="s">
        <v>2</v>
      </c>
      <c r="B30" t="s">
        <v>19</v>
      </c>
      <c r="C30">
        <v>361330</v>
      </c>
      <c r="D30">
        <v>438100</v>
      </c>
      <c r="E30">
        <f t="shared" si="0"/>
        <v>76770</v>
      </c>
      <c r="F30" t="str">
        <f t="shared" si="1"/>
        <v>BREACH</v>
      </c>
      <c r="G30" s="3">
        <v>4.4999999999999998E-2</v>
      </c>
      <c r="H30">
        <f t="shared" si="2"/>
        <v>3454.65</v>
      </c>
      <c r="I30" s="1" t="s">
        <v>45</v>
      </c>
    </row>
    <row r="31" spans="1:9" x14ac:dyDescent="0.3">
      <c r="A31" t="s">
        <v>2</v>
      </c>
      <c r="B31" t="s">
        <v>20</v>
      </c>
      <c r="C31">
        <v>200471</v>
      </c>
      <c r="D31">
        <v>352043</v>
      </c>
      <c r="E31">
        <f t="shared" si="0"/>
        <v>151572</v>
      </c>
      <c r="F31" t="str">
        <f t="shared" si="1"/>
        <v>BREACH</v>
      </c>
      <c r="G31" s="3">
        <v>5.3999999999999999E-2</v>
      </c>
      <c r="H31">
        <f t="shared" si="2"/>
        <v>8184.8879999999999</v>
      </c>
      <c r="I31" s="1" t="s">
        <v>45</v>
      </c>
    </row>
    <row r="32" spans="1:9" x14ac:dyDescent="0.3">
      <c r="A32" t="s">
        <v>2</v>
      </c>
      <c r="B32" t="s">
        <v>21</v>
      </c>
      <c r="C32">
        <v>263667</v>
      </c>
      <c r="D32">
        <v>188075</v>
      </c>
      <c r="E32">
        <f t="shared" si="0"/>
        <v>0</v>
      </c>
      <c r="F32" t="str">
        <f t="shared" si="1"/>
        <v>COMPLIANT</v>
      </c>
      <c r="G32" s="3">
        <v>5.3999999999999999E-2</v>
      </c>
      <c r="H32">
        <f t="shared" si="2"/>
        <v>0</v>
      </c>
      <c r="I32" s="1" t="s">
        <v>45</v>
      </c>
    </row>
    <row r="33" spans="1:9" x14ac:dyDescent="0.3">
      <c r="A33" t="s">
        <v>2</v>
      </c>
      <c r="B33" t="s">
        <v>22</v>
      </c>
      <c r="C33">
        <v>391715</v>
      </c>
      <c r="D33">
        <v>326193</v>
      </c>
      <c r="E33">
        <f t="shared" si="0"/>
        <v>0</v>
      </c>
      <c r="F33" t="str">
        <f t="shared" si="1"/>
        <v>COMPLIANT</v>
      </c>
      <c r="G33" s="3">
        <v>7.0000000000000007E-2</v>
      </c>
      <c r="H33">
        <f t="shared" si="2"/>
        <v>0</v>
      </c>
      <c r="I33" s="1" t="s">
        <v>45</v>
      </c>
    </row>
    <row r="34" spans="1:9" x14ac:dyDescent="0.3">
      <c r="A34" t="s">
        <v>2</v>
      </c>
      <c r="B34" t="s">
        <v>23</v>
      </c>
      <c r="C34">
        <v>252011</v>
      </c>
      <c r="D34">
        <v>92748</v>
      </c>
      <c r="E34">
        <f t="shared" si="0"/>
        <v>0</v>
      </c>
      <c r="F34" t="str">
        <f t="shared" si="1"/>
        <v>COMPLIANT</v>
      </c>
      <c r="G34" s="3">
        <v>6.3E-2</v>
      </c>
      <c r="H34">
        <f t="shared" si="2"/>
        <v>0</v>
      </c>
      <c r="I34" s="1" t="s">
        <v>45</v>
      </c>
    </row>
    <row r="35" spans="1:9" x14ac:dyDescent="0.3">
      <c r="A35" t="s">
        <v>2</v>
      </c>
      <c r="B35" t="s">
        <v>24</v>
      </c>
      <c r="C35">
        <v>283500</v>
      </c>
      <c r="D35">
        <v>300736</v>
      </c>
      <c r="E35">
        <f t="shared" si="0"/>
        <v>17236</v>
      </c>
      <c r="F35" t="str">
        <f t="shared" si="1"/>
        <v>BREACH</v>
      </c>
      <c r="G35" s="3">
        <v>6.2E-2</v>
      </c>
      <c r="H35">
        <f t="shared" si="2"/>
        <v>1068.6320000000001</v>
      </c>
      <c r="I35" s="1" t="s">
        <v>45</v>
      </c>
    </row>
    <row r="36" spans="1:9" x14ac:dyDescent="0.3">
      <c r="A36" t="s">
        <v>2</v>
      </c>
      <c r="B36" t="s">
        <v>25</v>
      </c>
      <c r="C36">
        <v>339076</v>
      </c>
      <c r="D36">
        <v>326999</v>
      </c>
      <c r="E36">
        <f t="shared" si="0"/>
        <v>0</v>
      </c>
      <c r="F36" t="str">
        <f t="shared" si="1"/>
        <v>COMPLIANT</v>
      </c>
      <c r="G36" s="3">
        <v>6.0999999999999999E-2</v>
      </c>
      <c r="H36">
        <f t="shared" si="2"/>
        <v>0</v>
      </c>
      <c r="I36" s="1" t="s">
        <v>45</v>
      </c>
    </row>
    <row r="37" spans="1:9" x14ac:dyDescent="0.3">
      <c r="A37" t="s">
        <v>2</v>
      </c>
      <c r="B37" t="s">
        <v>26</v>
      </c>
      <c r="C37">
        <v>392173</v>
      </c>
      <c r="D37">
        <v>413933</v>
      </c>
      <c r="E37">
        <f t="shared" si="0"/>
        <v>21760</v>
      </c>
      <c r="F37" t="str">
        <f t="shared" si="1"/>
        <v>BREACH</v>
      </c>
      <c r="G37" s="3">
        <v>7.3999999999999996E-2</v>
      </c>
      <c r="H37">
        <f t="shared" si="2"/>
        <v>1610.24</v>
      </c>
      <c r="I37" s="1" t="s">
        <v>45</v>
      </c>
    </row>
    <row r="38" spans="1:9" x14ac:dyDescent="0.3">
      <c r="A38" t="s">
        <v>3</v>
      </c>
      <c r="B38" t="s">
        <v>15</v>
      </c>
      <c r="C38">
        <v>378433</v>
      </c>
      <c r="D38">
        <v>279066</v>
      </c>
      <c r="E38">
        <f t="shared" si="0"/>
        <v>0</v>
      </c>
      <c r="F38" t="str">
        <f t="shared" si="1"/>
        <v>COMPLIANT</v>
      </c>
      <c r="G38" s="3">
        <v>7.0000000000000007E-2</v>
      </c>
      <c r="H38">
        <f t="shared" si="2"/>
        <v>0</v>
      </c>
      <c r="I38" s="1" t="s">
        <v>45</v>
      </c>
    </row>
    <row r="39" spans="1:9" x14ac:dyDescent="0.3">
      <c r="A39" t="s">
        <v>3</v>
      </c>
      <c r="B39" t="s">
        <v>16</v>
      </c>
      <c r="C39">
        <v>80474</v>
      </c>
      <c r="D39">
        <v>416462</v>
      </c>
      <c r="E39">
        <f t="shared" si="0"/>
        <v>335988</v>
      </c>
      <c r="F39" t="str">
        <f t="shared" si="1"/>
        <v>BREACH</v>
      </c>
      <c r="G39" s="3">
        <v>4.5999999999999999E-2</v>
      </c>
      <c r="H39">
        <f t="shared" si="2"/>
        <v>15455.448</v>
      </c>
      <c r="I39" s="1" t="s">
        <v>45</v>
      </c>
    </row>
    <row r="40" spans="1:9" x14ac:dyDescent="0.3">
      <c r="A40" t="s">
        <v>3</v>
      </c>
      <c r="B40" t="s">
        <v>17</v>
      </c>
      <c r="C40">
        <v>254439</v>
      </c>
      <c r="D40">
        <v>398338</v>
      </c>
      <c r="E40">
        <f t="shared" si="0"/>
        <v>143899</v>
      </c>
      <c r="F40" t="str">
        <f t="shared" si="1"/>
        <v>BREACH</v>
      </c>
      <c r="G40" s="3">
        <v>7.0000000000000007E-2</v>
      </c>
      <c r="H40">
        <f t="shared" si="2"/>
        <v>10072.93</v>
      </c>
      <c r="I40" s="1" t="s">
        <v>45</v>
      </c>
    </row>
    <row r="41" spans="1:9" x14ac:dyDescent="0.3">
      <c r="A41" t="s">
        <v>3</v>
      </c>
      <c r="B41" t="s">
        <v>18</v>
      </c>
      <c r="C41">
        <v>122212</v>
      </c>
      <c r="D41">
        <v>323279</v>
      </c>
      <c r="E41">
        <f t="shared" si="0"/>
        <v>201067</v>
      </c>
      <c r="F41" t="str">
        <f t="shared" si="1"/>
        <v>BREACH</v>
      </c>
      <c r="G41" s="3">
        <v>6.0999999999999999E-2</v>
      </c>
      <c r="H41">
        <f t="shared" si="2"/>
        <v>12265.087</v>
      </c>
      <c r="I41" s="1" t="s">
        <v>45</v>
      </c>
    </row>
    <row r="42" spans="1:9" x14ac:dyDescent="0.3">
      <c r="A42" t="s">
        <v>3</v>
      </c>
      <c r="B42" t="s">
        <v>19</v>
      </c>
      <c r="C42">
        <v>320958</v>
      </c>
      <c r="D42">
        <v>432365</v>
      </c>
      <c r="E42">
        <f t="shared" si="0"/>
        <v>111407</v>
      </c>
      <c r="F42" t="str">
        <f t="shared" si="1"/>
        <v>BREACH</v>
      </c>
      <c r="G42" s="3">
        <v>7.0999999999999994E-2</v>
      </c>
      <c r="H42">
        <f t="shared" si="2"/>
        <v>7909.896999999999</v>
      </c>
      <c r="I42" s="1" t="s">
        <v>45</v>
      </c>
    </row>
    <row r="43" spans="1:9" x14ac:dyDescent="0.3">
      <c r="A43" t="s">
        <v>3</v>
      </c>
      <c r="B43" t="s">
        <v>20</v>
      </c>
      <c r="C43">
        <v>336651</v>
      </c>
      <c r="D43">
        <v>408076</v>
      </c>
      <c r="E43">
        <f t="shared" si="0"/>
        <v>71425</v>
      </c>
      <c r="F43" t="str">
        <f t="shared" si="1"/>
        <v>BREACH</v>
      </c>
      <c r="G43" s="3">
        <v>7.3999999999999996E-2</v>
      </c>
      <c r="H43">
        <f t="shared" si="2"/>
        <v>5285.45</v>
      </c>
      <c r="I43" s="1" t="s">
        <v>45</v>
      </c>
    </row>
    <row r="44" spans="1:9" x14ac:dyDescent="0.3">
      <c r="A44" t="s">
        <v>3</v>
      </c>
      <c r="B44" t="s">
        <v>21</v>
      </c>
      <c r="C44">
        <v>278219</v>
      </c>
      <c r="D44">
        <v>382333</v>
      </c>
      <c r="E44">
        <f t="shared" si="0"/>
        <v>104114</v>
      </c>
      <c r="F44" t="str">
        <f t="shared" si="1"/>
        <v>BREACH</v>
      </c>
      <c r="G44" s="3">
        <v>0.05</v>
      </c>
      <c r="H44">
        <f t="shared" si="2"/>
        <v>5205.7000000000007</v>
      </c>
      <c r="I44" s="1" t="s">
        <v>45</v>
      </c>
    </row>
    <row r="45" spans="1:9" x14ac:dyDescent="0.3">
      <c r="A45" t="s">
        <v>3</v>
      </c>
      <c r="B45" t="s">
        <v>22</v>
      </c>
      <c r="C45">
        <v>374529</v>
      </c>
      <c r="D45">
        <v>335725</v>
      </c>
      <c r="E45">
        <f t="shared" si="0"/>
        <v>0</v>
      </c>
      <c r="F45" t="str">
        <f t="shared" si="1"/>
        <v>COMPLIANT</v>
      </c>
      <c r="G45" s="3">
        <v>6.5000000000000002E-2</v>
      </c>
      <c r="H45">
        <f t="shared" si="2"/>
        <v>0</v>
      </c>
      <c r="I45" s="1" t="s">
        <v>45</v>
      </c>
    </row>
    <row r="46" spans="1:9" x14ac:dyDescent="0.3">
      <c r="A46" t="s">
        <v>3</v>
      </c>
      <c r="B46" t="s">
        <v>23</v>
      </c>
      <c r="C46">
        <v>230903</v>
      </c>
      <c r="D46">
        <v>409931</v>
      </c>
      <c r="E46">
        <f t="shared" si="0"/>
        <v>179028</v>
      </c>
      <c r="F46" t="str">
        <f t="shared" si="1"/>
        <v>BREACH</v>
      </c>
      <c r="G46" s="3">
        <v>7.0000000000000007E-2</v>
      </c>
      <c r="H46">
        <f t="shared" si="2"/>
        <v>12531.960000000001</v>
      </c>
      <c r="I46" s="1" t="s">
        <v>45</v>
      </c>
    </row>
    <row r="47" spans="1:9" x14ac:dyDescent="0.3">
      <c r="A47" t="s">
        <v>3</v>
      </c>
      <c r="B47" t="s">
        <v>24</v>
      </c>
      <c r="C47">
        <v>110135</v>
      </c>
      <c r="D47">
        <v>89618</v>
      </c>
      <c r="E47">
        <f t="shared" si="0"/>
        <v>0</v>
      </c>
      <c r="F47" t="str">
        <f t="shared" si="1"/>
        <v>COMPLIANT</v>
      </c>
      <c r="G47" s="3">
        <v>6.2E-2</v>
      </c>
      <c r="H47">
        <f t="shared" si="2"/>
        <v>0</v>
      </c>
      <c r="I47" s="1" t="s">
        <v>45</v>
      </c>
    </row>
    <row r="48" spans="1:9" x14ac:dyDescent="0.3">
      <c r="A48" t="s">
        <v>3</v>
      </c>
      <c r="B48" t="s">
        <v>25</v>
      </c>
      <c r="C48">
        <v>137144</v>
      </c>
      <c r="D48">
        <v>87602</v>
      </c>
      <c r="E48">
        <f t="shared" si="0"/>
        <v>0</v>
      </c>
      <c r="F48" t="str">
        <f t="shared" si="1"/>
        <v>COMPLIANT</v>
      </c>
      <c r="G48" s="3">
        <v>0.05</v>
      </c>
      <c r="H48">
        <f t="shared" si="2"/>
        <v>0</v>
      </c>
      <c r="I48" s="1" t="s">
        <v>45</v>
      </c>
    </row>
    <row r="49" spans="1:9" x14ac:dyDescent="0.3">
      <c r="A49" t="s">
        <v>3</v>
      </c>
      <c r="B49" t="s">
        <v>26</v>
      </c>
      <c r="C49">
        <v>130551</v>
      </c>
      <c r="D49">
        <v>172083</v>
      </c>
      <c r="E49">
        <f t="shared" si="0"/>
        <v>41532</v>
      </c>
      <c r="F49" t="str">
        <f t="shared" si="1"/>
        <v>BREACH</v>
      </c>
      <c r="G49" s="3">
        <v>6.3E-2</v>
      </c>
      <c r="H49">
        <f t="shared" si="2"/>
        <v>2616.5160000000001</v>
      </c>
      <c r="I49" s="1" t="s">
        <v>45</v>
      </c>
    </row>
    <row r="50" spans="1:9" x14ac:dyDescent="0.3">
      <c r="A50" t="s">
        <v>4</v>
      </c>
      <c r="B50" t="s">
        <v>15</v>
      </c>
      <c r="C50">
        <v>310981</v>
      </c>
      <c r="D50">
        <v>140015</v>
      </c>
      <c r="E50">
        <f t="shared" si="0"/>
        <v>0</v>
      </c>
      <c r="F50" t="str">
        <f t="shared" si="1"/>
        <v>COMPLIANT</v>
      </c>
      <c r="G50" s="3">
        <v>4.5999999999999999E-2</v>
      </c>
      <c r="H50">
        <f t="shared" si="2"/>
        <v>0</v>
      </c>
      <c r="I50" s="1" t="s">
        <v>45</v>
      </c>
    </row>
    <row r="51" spans="1:9" x14ac:dyDescent="0.3">
      <c r="A51" t="s">
        <v>4</v>
      </c>
      <c r="B51" t="s">
        <v>16</v>
      </c>
      <c r="C51">
        <v>141828</v>
      </c>
      <c r="D51">
        <v>331776</v>
      </c>
      <c r="E51">
        <f t="shared" si="0"/>
        <v>189948</v>
      </c>
      <c r="F51" t="str">
        <f t="shared" si="1"/>
        <v>BREACH</v>
      </c>
      <c r="G51" s="3">
        <v>6.3E-2</v>
      </c>
      <c r="H51">
        <f t="shared" si="2"/>
        <v>11966.724</v>
      </c>
      <c r="I51" s="1" t="s">
        <v>45</v>
      </c>
    </row>
    <row r="52" spans="1:9" x14ac:dyDescent="0.3">
      <c r="A52" t="s">
        <v>4</v>
      </c>
      <c r="B52" t="s">
        <v>17</v>
      </c>
      <c r="C52">
        <v>144633</v>
      </c>
      <c r="D52">
        <v>184262</v>
      </c>
      <c r="E52">
        <f t="shared" si="0"/>
        <v>39629</v>
      </c>
      <c r="F52" t="str">
        <f t="shared" si="1"/>
        <v>BREACH</v>
      </c>
      <c r="G52" s="3">
        <v>5.1999999999999998E-2</v>
      </c>
      <c r="H52">
        <f t="shared" si="2"/>
        <v>2060.7080000000001</v>
      </c>
      <c r="I52" s="1" t="s">
        <v>45</v>
      </c>
    </row>
    <row r="53" spans="1:9" x14ac:dyDescent="0.3">
      <c r="A53" t="s">
        <v>4</v>
      </c>
      <c r="B53" t="s">
        <v>18</v>
      </c>
      <c r="C53">
        <v>166267</v>
      </c>
      <c r="D53">
        <v>156962</v>
      </c>
      <c r="E53">
        <f t="shared" si="0"/>
        <v>0</v>
      </c>
      <c r="F53" t="str">
        <f t="shared" si="1"/>
        <v>COMPLIANT</v>
      </c>
      <c r="G53" s="3">
        <v>7.4999999999999997E-2</v>
      </c>
      <c r="H53">
        <f t="shared" si="2"/>
        <v>0</v>
      </c>
      <c r="I53" s="1" t="s">
        <v>45</v>
      </c>
    </row>
    <row r="54" spans="1:9" x14ac:dyDescent="0.3">
      <c r="A54" t="s">
        <v>4</v>
      </c>
      <c r="B54" t="s">
        <v>19</v>
      </c>
      <c r="C54">
        <v>293931</v>
      </c>
      <c r="D54">
        <v>181490</v>
      </c>
      <c r="E54">
        <f t="shared" si="0"/>
        <v>0</v>
      </c>
      <c r="F54" t="str">
        <f t="shared" si="1"/>
        <v>COMPLIANT</v>
      </c>
      <c r="G54" s="3">
        <v>4.9000000000000002E-2</v>
      </c>
      <c r="H54">
        <f t="shared" si="2"/>
        <v>0</v>
      </c>
      <c r="I54" s="1" t="s">
        <v>45</v>
      </c>
    </row>
    <row r="55" spans="1:9" x14ac:dyDescent="0.3">
      <c r="A55" t="s">
        <v>4</v>
      </c>
      <c r="B55" t="s">
        <v>20</v>
      </c>
      <c r="C55">
        <v>329678</v>
      </c>
      <c r="D55">
        <v>331037</v>
      </c>
      <c r="E55">
        <f t="shared" si="0"/>
        <v>1359</v>
      </c>
      <c r="F55" t="str">
        <f t="shared" si="1"/>
        <v>BREACH</v>
      </c>
      <c r="G55" s="3">
        <v>7.0000000000000007E-2</v>
      </c>
      <c r="H55">
        <f t="shared" si="2"/>
        <v>95.13000000000001</v>
      </c>
      <c r="I55" s="1" t="s">
        <v>45</v>
      </c>
    </row>
    <row r="56" spans="1:9" x14ac:dyDescent="0.3">
      <c r="A56" t="s">
        <v>4</v>
      </c>
      <c r="B56" t="s">
        <v>21</v>
      </c>
      <c r="C56">
        <v>175395</v>
      </c>
      <c r="D56">
        <v>207633</v>
      </c>
      <c r="E56">
        <f t="shared" si="0"/>
        <v>32238</v>
      </c>
      <c r="F56" t="str">
        <f t="shared" si="1"/>
        <v>BREACH</v>
      </c>
      <c r="G56" s="3">
        <v>5.2999999999999999E-2</v>
      </c>
      <c r="H56">
        <f t="shared" si="2"/>
        <v>1708.614</v>
      </c>
      <c r="I56" s="1" t="s">
        <v>45</v>
      </c>
    </row>
    <row r="57" spans="1:9" x14ac:dyDescent="0.3">
      <c r="A57" t="s">
        <v>4</v>
      </c>
      <c r="B57" t="s">
        <v>22</v>
      </c>
      <c r="C57">
        <v>310575</v>
      </c>
      <c r="D57">
        <v>384121</v>
      </c>
      <c r="E57">
        <f t="shared" si="0"/>
        <v>73546</v>
      </c>
      <c r="F57" t="str">
        <f t="shared" si="1"/>
        <v>BREACH</v>
      </c>
      <c r="G57" s="3">
        <v>7.2999999999999995E-2</v>
      </c>
      <c r="H57">
        <f t="shared" si="2"/>
        <v>5368.8579999999993</v>
      </c>
      <c r="I57" s="1" t="s">
        <v>45</v>
      </c>
    </row>
    <row r="58" spans="1:9" x14ac:dyDescent="0.3">
      <c r="A58" t="s">
        <v>4</v>
      </c>
      <c r="B58" t="s">
        <v>23</v>
      </c>
      <c r="C58">
        <v>191349</v>
      </c>
      <c r="D58">
        <v>308521</v>
      </c>
      <c r="E58">
        <f t="shared" si="0"/>
        <v>117172</v>
      </c>
      <c r="F58" t="str">
        <f t="shared" si="1"/>
        <v>BREACH</v>
      </c>
      <c r="G58" s="3">
        <v>5.6000000000000001E-2</v>
      </c>
      <c r="H58">
        <f t="shared" si="2"/>
        <v>6561.6320000000005</v>
      </c>
      <c r="I58" s="1" t="s">
        <v>45</v>
      </c>
    </row>
    <row r="59" spans="1:9" x14ac:dyDescent="0.3">
      <c r="A59" t="s">
        <v>4</v>
      </c>
      <c r="B59" t="s">
        <v>24</v>
      </c>
      <c r="C59">
        <v>229452</v>
      </c>
      <c r="D59">
        <v>257335</v>
      </c>
      <c r="E59">
        <f t="shared" si="0"/>
        <v>27883</v>
      </c>
      <c r="F59" t="str">
        <f t="shared" si="1"/>
        <v>BREACH</v>
      </c>
      <c r="G59" s="3">
        <v>4.5999999999999999E-2</v>
      </c>
      <c r="H59">
        <f t="shared" si="2"/>
        <v>1282.6179999999999</v>
      </c>
      <c r="I59" s="1" t="s">
        <v>45</v>
      </c>
    </row>
    <row r="60" spans="1:9" x14ac:dyDescent="0.3">
      <c r="A60" t="s">
        <v>4</v>
      </c>
      <c r="B60" t="s">
        <v>25</v>
      </c>
      <c r="C60">
        <v>403397</v>
      </c>
      <c r="D60">
        <v>106709</v>
      </c>
      <c r="E60">
        <f t="shared" si="0"/>
        <v>0</v>
      </c>
      <c r="F60" t="str">
        <f t="shared" si="1"/>
        <v>COMPLIANT</v>
      </c>
      <c r="G60" s="3">
        <v>4.7E-2</v>
      </c>
      <c r="H60">
        <f t="shared" si="2"/>
        <v>0</v>
      </c>
      <c r="I60" s="1" t="s">
        <v>45</v>
      </c>
    </row>
    <row r="61" spans="1:9" x14ac:dyDescent="0.3">
      <c r="A61" t="s">
        <v>4</v>
      </c>
      <c r="B61" t="s">
        <v>26</v>
      </c>
      <c r="C61">
        <v>276582</v>
      </c>
      <c r="D61">
        <v>233915</v>
      </c>
      <c r="E61">
        <f t="shared" si="0"/>
        <v>0</v>
      </c>
      <c r="F61" t="str">
        <f t="shared" si="1"/>
        <v>COMPLIANT</v>
      </c>
      <c r="G61" s="3">
        <v>7.3999999999999996E-2</v>
      </c>
      <c r="H61">
        <f t="shared" si="2"/>
        <v>0</v>
      </c>
      <c r="I61" s="1" t="s">
        <v>45</v>
      </c>
    </row>
    <row r="62" spans="1:9" x14ac:dyDescent="0.3">
      <c r="A62" t="s">
        <v>5</v>
      </c>
      <c r="B62" t="s">
        <v>15</v>
      </c>
      <c r="C62">
        <v>156497</v>
      </c>
      <c r="D62">
        <v>346238</v>
      </c>
      <c r="E62">
        <f t="shared" si="0"/>
        <v>189741</v>
      </c>
      <c r="F62" t="str">
        <f t="shared" si="1"/>
        <v>BREACH</v>
      </c>
      <c r="G62" s="3">
        <v>5.8000000000000003E-2</v>
      </c>
      <c r="H62">
        <f t="shared" si="2"/>
        <v>11004.978000000001</v>
      </c>
      <c r="I62" s="1" t="s">
        <v>46</v>
      </c>
    </row>
    <row r="63" spans="1:9" x14ac:dyDescent="0.3">
      <c r="A63" t="s">
        <v>5</v>
      </c>
      <c r="B63" t="s">
        <v>16</v>
      </c>
      <c r="C63">
        <v>424590</v>
      </c>
      <c r="D63">
        <v>158213</v>
      </c>
      <c r="E63">
        <f t="shared" si="0"/>
        <v>0</v>
      </c>
      <c r="F63" t="str">
        <f t="shared" si="1"/>
        <v>COMPLIANT</v>
      </c>
      <c r="G63" s="3">
        <v>5.7000000000000002E-2</v>
      </c>
      <c r="H63">
        <f t="shared" si="2"/>
        <v>0</v>
      </c>
      <c r="I63" s="1" t="s">
        <v>46</v>
      </c>
    </row>
    <row r="64" spans="1:9" x14ac:dyDescent="0.3">
      <c r="A64" t="s">
        <v>5</v>
      </c>
      <c r="B64" t="s">
        <v>17</v>
      </c>
      <c r="C64">
        <v>301752</v>
      </c>
      <c r="D64">
        <v>222749</v>
      </c>
      <c r="E64">
        <f t="shared" si="0"/>
        <v>0</v>
      </c>
      <c r="F64" t="str">
        <f t="shared" si="1"/>
        <v>COMPLIANT</v>
      </c>
      <c r="G64" s="3">
        <v>6.7000000000000004E-2</v>
      </c>
      <c r="H64">
        <f t="shared" si="2"/>
        <v>0</v>
      </c>
      <c r="I64" s="1" t="s">
        <v>46</v>
      </c>
    </row>
    <row r="65" spans="1:9" x14ac:dyDescent="0.3">
      <c r="A65" t="s">
        <v>5</v>
      </c>
      <c r="B65" t="s">
        <v>18</v>
      </c>
      <c r="C65">
        <v>308140</v>
      </c>
      <c r="D65">
        <v>209576</v>
      </c>
      <c r="E65">
        <f t="shared" si="0"/>
        <v>0</v>
      </c>
      <c r="F65" t="str">
        <f t="shared" si="1"/>
        <v>COMPLIANT</v>
      </c>
      <c r="G65" s="3">
        <v>4.9000000000000002E-2</v>
      </c>
      <c r="H65">
        <f t="shared" si="2"/>
        <v>0</v>
      </c>
      <c r="I65" s="1" t="s">
        <v>46</v>
      </c>
    </row>
    <row r="66" spans="1:9" x14ac:dyDescent="0.3">
      <c r="A66" t="s">
        <v>5</v>
      </c>
      <c r="B66" t="s">
        <v>19</v>
      </c>
      <c r="C66">
        <v>135183</v>
      </c>
      <c r="D66">
        <v>194219</v>
      </c>
      <c r="E66">
        <f t="shared" si="0"/>
        <v>59036</v>
      </c>
      <c r="F66" t="str">
        <f t="shared" si="1"/>
        <v>BREACH</v>
      </c>
      <c r="G66" s="3">
        <v>6.0999999999999999E-2</v>
      </c>
      <c r="H66">
        <f t="shared" si="2"/>
        <v>3601.1959999999999</v>
      </c>
      <c r="I66" s="1" t="s">
        <v>46</v>
      </c>
    </row>
    <row r="67" spans="1:9" x14ac:dyDescent="0.3">
      <c r="A67" t="s">
        <v>5</v>
      </c>
      <c r="B67" t="s">
        <v>20</v>
      </c>
      <c r="C67">
        <v>367630</v>
      </c>
      <c r="D67">
        <v>380534</v>
      </c>
      <c r="E67">
        <f t="shared" ref="E67:E130" si="3">MAX(D67 - C67, 0)</f>
        <v>12904</v>
      </c>
      <c r="F67" t="str">
        <f t="shared" ref="F67:F130" si="4">IF(E67 &gt; 0, "BREACH", "COMPLIANT")</f>
        <v>BREACH</v>
      </c>
      <c r="G67" s="3">
        <v>6.2E-2</v>
      </c>
      <c r="H67">
        <f t="shared" ref="H67:H130" si="5">E67 * G67</f>
        <v>800.048</v>
      </c>
      <c r="I67" s="1" t="s">
        <v>46</v>
      </c>
    </row>
    <row r="68" spans="1:9" x14ac:dyDescent="0.3">
      <c r="A68" t="s">
        <v>5</v>
      </c>
      <c r="B68" t="s">
        <v>21</v>
      </c>
      <c r="C68">
        <v>277660</v>
      </c>
      <c r="D68">
        <v>188413</v>
      </c>
      <c r="E68">
        <f t="shared" si="3"/>
        <v>0</v>
      </c>
      <c r="F68" t="str">
        <f t="shared" si="4"/>
        <v>COMPLIANT</v>
      </c>
      <c r="G68" s="3">
        <v>4.5999999999999999E-2</v>
      </c>
      <c r="H68">
        <f t="shared" si="5"/>
        <v>0</v>
      </c>
      <c r="I68" s="1" t="s">
        <v>46</v>
      </c>
    </row>
    <row r="69" spans="1:9" x14ac:dyDescent="0.3">
      <c r="A69" t="s">
        <v>5</v>
      </c>
      <c r="B69" t="s">
        <v>22</v>
      </c>
      <c r="C69">
        <v>408799</v>
      </c>
      <c r="D69">
        <v>379964</v>
      </c>
      <c r="E69">
        <f t="shared" si="3"/>
        <v>0</v>
      </c>
      <c r="F69" t="str">
        <f t="shared" si="4"/>
        <v>COMPLIANT</v>
      </c>
      <c r="G69" s="3">
        <v>5.1999999999999998E-2</v>
      </c>
      <c r="H69">
        <f t="shared" si="5"/>
        <v>0</v>
      </c>
      <c r="I69" s="1" t="s">
        <v>46</v>
      </c>
    </row>
    <row r="70" spans="1:9" x14ac:dyDescent="0.3">
      <c r="A70" t="s">
        <v>5</v>
      </c>
      <c r="B70" t="s">
        <v>23</v>
      </c>
      <c r="C70">
        <v>87312</v>
      </c>
      <c r="D70">
        <v>354200</v>
      </c>
      <c r="E70">
        <f t="shared" si="3"/>
        <v>266888</v>
      </c>
      <c r="F70" t="str">
        <f t="shared" si="4"/>
        <v>BREACH</v>
      </c>
      <c r="G70" s="3">
        <v>7.0000000000000007E-2</v>
      </c>
      <c r="H70">
        <f t="shared" si="5"/>
        <v>18682.160000000003</v>
      </c>
      <c r="I70" s="1" t="s">
        <v>46</v>
      </c>
    </row>
    <row r="71" spans="1:9" x14ac:dyDescent="0.3">
      <c r="A71" t="s">
        <v>5</v>
      </c>
      <c r="B71" t="s">
        <v>24</v>
      </c>
      <c r="C71">
        <v>121601</v>
      </c>
      <c r="D71">
        <v>269189</v>
      </c>
      <c r="E71">
        <f t="shared" si="3"/>
        <v>147588</v>
      </c>
      <c r="F71" t="str">
        <f t="shared" si="4"/>
        <v>BREACH</v>
      </c>
      <c r="G71" s="3">
        <v>5.5E-2</v>
      </c>
      <c r="H71">
        <f t="shared" si="5"/>
        <v>8117.34</v>
      </c>
      <c r="I71" s="1" t="s">
        <v>46</v>
      </c>
    </row>
    <row r="72" spans="1:9" x14ac:dyDescent="0.3">
      <c r="A72" t="s">
        <v>5</v>
      </c>
      <c r="B72" t="s">
        <v>25</v>
      </c>
      <c r="C72">
        <v>252448</v>
      </c>
      <c r="D72">
        <v>382449</v>
      </c>
      <c r="E72">
        <f t="shared" si="3"/>
        <v>130001</v>
      </c>
      <c r="F72" t="str">
        <f t="shared" si="4"/>
        <v>BREACH</v>
      </c>
      <c r="G72" s="3">
        <v>7.3999999999999996E-2</v>
      </c>
      <c r="H72">
        <f t="shared" si="5"/>
        <v>9620.0739999999987</v>
      </c>
      <c r="I72" s="1" t="s">
        <v>46</v>
      </c>
    </row>
    <row r="73" spans="1:9" x14ac:dyDescent="0.3">
      <c r="A73" t="s">
        <v>5</v>
      </c>
      <c r="B73" t="s">
        <v>26</v>
      </c>
      <c r="C73">
        <v>215427</v>
      </c>
      <c r="D73">
        <v>277791</v>
      </c>
      <c r="E73">
        <f t="shared" si="3"/>
        <v>62364</v>
      </c>
      <c r="F73" t="str">
        <f t="shared" si="4"/>
        <v>BREACH</v>
      </c>
      <c r="G73" s="3">
        <v>6.5000000000000002E-2</v>
      </c>
      <c r="H73">
        <f t="shared" si="5"/>
        <v>4053.6600000000003</v>
      </c>
      <c r="I73" s="1" t="s">
        <v>46</v>
      </c>
    </row>
    <row r="74" spans="1:9" x14ac:dyDescent="0.3">
      <c r="A74" t="s">
        <v>6</v>
      </c>
      <c r="B74" t="s">
        <v>15</v>
      </c>
      <c r="C74">
        <v>299621</v>
      </c>
      <c r="D74">
        <v>256174</v>
      </c>
      <c r="E74">
        <f t="shared" si="3"/>
        <v>0</v>
      </c>
      <c r="F74" t="str">
        <f t="shared" si="4"/>
        <v>COMPLIANT</v>
      </c>
      <c r="G74" s="3">
        <v>0.06</v>
      </c>
      <c r="H74">
        <f t="shared" si="5"/>
        <v>0</v>
      </c>
      <c r="I74" s="1" t="s">
        <v>46</v>
      </c>
    </row>
    <row r="75" spans="1:9" x14ac:dyDescent="0.3">
      <c r="A75" t="s">
        <v>6</v>
      </c>
      <c r="B75" t="s">
        <v>16</v>
      </c>
      <c r="C75">
        <v>445299</v>
      </c>
      <c r="D75">
        <v>293636</v>
      </c>
      <c r="E75">
        <f t="shared" si="3"/>
        <v>0</v>
      </c>
      <c r="F75" t="str">
        <f t="shared" si="4"/>
        <v>COMPLIANT</v>
      </c>
      <c r="G75" s="3">
        <v>5.7000000000000002E-2</v>
      </c>
      <c r="H75">
        <f t="shared" si="5"/>
        <v>0</v>
      </c>
      <c r="I75" s="1" t="s">
        <v>46</v>
      </c>
    </row>
    <row r="76" spans="1:9" x14ac:dyDescent="0.3">
      <c r="A76" t="s">
        <v>6</v>
      </c>
      <c r="B76" t="s">
        <v>17</v>
      </c>
      <c r="C76">
        <v>222869</v>
      </c>
      <c r="D76">
        <v>264721</v>
      </c>
      <c r="E76">
        <f t="shared" si="3"/>
        <v>41852</v>
      </c>
      <c r="F76" t="str">
        <f t="shared" si="4"/>
        <v>BREACH</v>
      </c>
      <c r="G76" s="3">
        <v>7.0999999999999994E-2</v>
      </c>
      <c r="H76">
        <f t="shared" si="5"/>
        <v>2971.4919999999997</v>
      </c>
      <c r="I76" s="1" t="s">
        <v>46</v>
      </c>
    </row>
    <row r="77" spans="1:9" x14ac:dyDescent="0.3">
      <c r="A77" t="s">
        <v>6</v>
      </c>
      <c r="B77" t="s">
        <v>18</v>
      </c>
      <c r="C77">
        <v>329281</v>
      </c>
      <c r="D77">
        <v>82276</v>
      </c>
      <c r="E77">
        <f t="shared" si="3"/>
        <v>0</v>
      </c>
      <c r="F77" t="str">
        <f t="shared" si="4"/>
        <v>COMPLIANT</v>
      </c>
      <c r="G77" s="3">
        <v>7.1999999999999995E-2</v>
      </c>
      <c r="H77">
        <f t="shared" si="5"/>
        <v>0</v>
      </c>
      <c r="I77" s="1" t="s">
        <v>46</v>
      </c>
    </row>
    <row r="78" spans="1:9" x14ac:dyDescent="0.3">
      <c r="A78" t="s">
        <v>6</v>
      </c>
      <c r="B78" t="s">
        <v>19</v>
      </c>
      <c r="C78">
        <v>260645</v>
      </c>
      <c r="D78">
        <v>208382</v>
      </c>
      <c r="E78">
        <f t="shared" si="3"/>
        <v>0</v>
      </c>
      <c r="F78" t="str">
        <f t="shared" si="4"/>
        <v>COMPLIANT</v>
      </c>
      <c r="G78" s="3">
        <v>6.9000000000000006E-2</v>
      </c>
      <c r="H78">
        <f t="shared" si="5"/>
        <v>0</v>
      </c>
      <c r="I78" s="1" t="s">
        <v>46</v>
      </c>
    </row>
    <row r="79" spans="1:9" x14ac:dyDescent="0.3">
      <c r="A79" t="s">
        <v>6</v>
      </c>
      <c r="B79" t="s">
        <v>20</v>
      </c>
      <c r="C79">
        <v>96510</v>
      </c>
      <c r="D79">
        <v>412337</v>
      </c>
      <c r="E79">
        <f t="shared" si="3"/>
        <v>315827</v>
      </c>
      <c r="F79" t="str">
        <f t="shared" si="4"/>
        <v>BREACH</v>
      </c>
      <c r="G79" s="3">
        <v>4.5999999999999999E-2</v>
      </c>
      <c r="H79">
        <f t="shared" si="5"/>
        <v>14528.041999999999</v>
      </c>
      <c r="I79" s="1" t="s">
        <v>46</v>
      </c>
    </row>
    <row r="80" spans="1:9" x14ac:dyDescent="0.3">
      <c r="A80" t="s">
        <v>6</v>
      </c>
      <c r="B80" t="s">
        <v>21</v>
      </c>
      <c r="C80">
        <v>184838</v>
      </c>
      <c r="D80">
        <v>359172</v>
      </c>
      <c r="E80">
        <f t="shared" si="3"/>
        <v>174334</v>
      </c>
      <c r="F80" t="str">
        <f t="shared" si="4"/>
        <v>BREACH</v>
      </c>
      <c r="G80" s="3">
        <v>7.0000000000000007E-2</v>
      </c>
      <c r="H80">
        <f t="shared" si="5"/>
        <v>12203.380000000001</v>
      </c>
      <c r="I80" s="1" t="s">
        <v>46</v>
      </c>
    </row>
    <row r="81" spans="1:9" x14ac:dyDescent="0.3">
      <c r="A81" t="s">
        <v>6</v>
      </c>
      <c r="B81" t="s">
        <v>22</v>
      </c>
      <c r="C81">
        <v>106857</v>
      </c>
      <c r="D81">
        <v>133104</v>
      </c>
      <c r="E81">
        <f t="shared" si="3"/>
        <v>26247</v>
      </c>
      <c r="F81" t="str">
        <f t="shared" si="4"/>
        <v>BREACH</v>
      </c>
      <c r="G81" s="3">
        <v>0.05</v>
      </c>
      <c r="H81">
        <f t="shared" si="5"/>
        <v>1312.3500000000001</v>
      </c>
      <c r="I81" s="1" t="s">
        <v>46</v>
      </c>
    </row>
    <row r="82" spans="1:9" x14ac:dyDescent="0.3">
      <c r="A82" t="s">
        <v>6</v>
      </c>
      <c r="B82" t="s">
        <v>23</v>
      </c>
      <c r="C82">
        <v>321875</v>
      </c>
      <c r="D82">
        <v>245330</v>
      </c>
      <c r="E82">
        <f t="shared" si="3"/>
        <v>0</v>
      </c>
      <c r="F82" t="str">
        <f t="shared" si="4"/>
        <v>COMPLIANT</v>
      </c>
      <c r="G82" s="3">
        <v>6.4000000000000001E-2</v>
      </c>
      <c r="H82">
        <f t="shared" si="5"/>
        <v>0</v>
      </c>
      <c r="I82" s="1" t="s">
        <v>46</v>
      </c>
    </row>
    <row r="83" spans="1:9" x14ac:dyDescent="0.3">
      <c r="A83" t="s">
        <v>6</v>
      </c>
      <c r="B83" t="s">
        <v>24</v>
      </c>
      <c r="C83">
        <v>215337</v>
      </c>
      <c r="D83">
        <v>216516</v>
      </c>
      <c r="E83">
        <f t="shared" si="3"/>
        <v>1179</v>
      </c>
      <c r="F83" t="str">
        <f t="shared" si="4"/>
        <v>BREACH</v>
      </c>
      <c r="G83" s="3">
        <v>5.8999999999999997E-2</v>
      </c>
      <c r="H83">
        <f t="shared" si="5"/>
        <v>69.560999999999993</v>
      </c>
      <c r="I83" s="1" t="s">
        <v>46</v>
      </c>
    </row>
    <row r="84" spans="1:9" x14ac:dyDescent="0.3">
      <c r="A84" t="s">
        <v>6</v>
      </c>
      <c r="B84" t="s">
        <v>25</v>
      </c>
      <c r="C84">
        <v>101255</v>
      </c>
      <c r="D84">
        <v>349755</v>
      </c>
      <c r="E84">
        <f t="shared" si="3"/>
        <v>248500</v>
      </c>
      <c r="F84" t="str">
        <f t="shared" si="4"/>
        <v>BREACH</v>
      </c>
      <c r="G84" s="3">
        <v>5.6000000000000001E-2</v>
      </c>
      <c r="H84">
        <f t="shared" si="5"/>
        <v>13916</v>
      </c>
      <c r="I84" s="1" t="s">
        <v>46</v>
      </c>
    </row>
    <row r="85" spans="1:9" x14ac:dyDescent="0.3">
      <c r="A85" t="s">
        <v>6</v>
      </c>
      <c r="B85" t="s">
        <v>26</v>
      </c>
      <c r="C85">
        <v>331467</v>
      </c>
      <c r="D85">
        <v>373712</v>
      </c>
      <c r="E85">
        <f t="shared" si="3"/>
        <v>42245</v>
      </c>
      <c r="F85" t="str">
        <f t="shared" si="4"/>
        <v>BREACH</v>
      </c>
      <c r="G85" s="3">
        <v>5.6000000000000001E-2</v>
      </c>
      <c r="H85">
        <f t="shared" si="5"/>
        <v>2365.7200000000003</v>
      </c>
      <c r="I85" s="1" t="s">
        <v>46</v>
      </c>
    </row>
    <row r="86" spans="1:9" x14ac:dyDescent="0.3">
      <c r="A86" t="s">
        <v>7</v>
      </c>
      <c r="B86" t="s">
        <v>15</v>
      </c>
      <c r="C86">
        <v>441475</v>
      </c>
      <c r="D86">
        <v>312943</v>
      </c>
      <c r="E86">
        <f t="shared" si="3"/>
        <v>0</v>
      </c>
      <c r="F86" t="str">
        <f t="shared" si="4"/>
        <v>COMPLIANT</v>
      </c>
      <c r="G86" s="3">
        <v>6.8000000000000005E-2</v>
      </c>
      <c r="H86">
        <f t="shared" si="5"/>
        <v>0</v>
      </c>
      <c r="I86" s="1" t="s">
        <v>46</v>
      </c>
    </row>
    <row r="87" spans="1:9" x14ac:dyDescent="0.3">
      <c r="A87" t="s">
        <v>7</v>
      </c>
      <c r="B87" t="s">
        <v>16</v>
      </c>
      <c r="C87">
        <v>86637</v>
      </c>
      <c r="D87">
        <v>320104</v>
      </c>
      <c r="E87">
        <f t="shared" si="3"/>
        <v>233467</v>
      </c>
      <c r="F87" t="str">
        <f t="shared" si="4"/>
        <v>BREACH</v>
      </c>
      <c r="G87" s="3">
        <v>5.7000000000000002E-2</v>
      </c>
      <c r="H87">
        <f t="shared" si="5"/>
        <v>13307.619000000001</v>
      </c>
      <c r="I87" s="1" t="s">
        <v>46</v>
      </c>
    </row>
    <row r="88" spans="1:9" x14ac:dyDescent="0.3">
      <c r="A88" t="s">
        <v>7</v>
      </c>
      <c r="B88" t="s">
        <v>17</v>
      </c>
      <c r="C88">
        <v>370569</v>
      </c>
      <c r="D88">
        <v>115115</v>
      </c>
      <c r="E88">
        <f t="shared" si="3"/>
        <v>0</v>
      </c>
      <c r="F88" t="str">
        <f t="shared" si="4"/>
        <v>COMPLIANT</v>
      </c>
      <c r="G88" s="3">
        <v>7.0000000000000007E-2</v>
      </c>
      <c r="H88">
        <f t="shared" si="5"/>
        <v>0</v>
      </c>
      <c r="I88" s="1" t="s">
        <v>46</v>
      </c>
    </row>
    <row r="89" spans="1:9" x14ac:dyDescent="0.3">
      <c r="A89" t="s">
        <v>7</v>
      </c>
      <c r="B89" t="s">
        <v>18</v>
      </c>
      <c r="C89">
        <v>237914</v>
      </c>
      <c r="D89">
        <v>82224</v>
      </c>
      <c r="E89">
        <f t="shared" si="3"/>
        <v>0</v>
      </c>
      <c r="F89" t="str">
        <f t="shared" si="4"/>
        <v>COMPLIANT</v>
      </c>
      <c r="G89" s="3">
        <v>4.5999999999999999E-2</v>
      </c>
      <c r="H89">
        <f t="shared" si="5"/>
        <v>0</v>
      </c>
      <c r="I89" s="1" t="s">
        <v>46</v>
      </c>
    </row>
    <row r="90" spans="1:9" x14ac:dyDescent="0.3">
      <c r="A90" t="s">
        <v>7</v>
      </c>
      <c r="B90" t="s">
        <v>19</v>
      </c>
      <c r="C90">
        <v>153326</v>
      </c>
      <c r="D90">
        <v>144465</v>
      </c>
      <c r="E90">
        <f t="shared" si="3"/>
        <v>0</v>
      </c>
      <c r="F90" t="str">
        <f t="shared" si="4"/>
        <v>COMPLIANT</v>
      </c>
      <c r="G90" s="3">
        <v>6.9000000000000006E-2</v>
      </c>
      <c r="H90">
        <f t="shared" si="5"/>
        <v>0</v>
      </c>
      <c r="I90" s="1" t="s">
        <v>46</v>
      </c>
    </row>
    <row r="91" spans="1:9" x14ac:dyDescent="0.3">
      <c r="A91" t="s">
        <v>7</v>
      </c>
      <c r="B91" t="s">
        <v>20</v>
      </c>
      <c r="C91">
        <v>291453</v>
      </c>
      <c r="D91">
        <v>394293</v>
      </c>
      <c r="E91">
        <f t="shared" si="3"/>
        <v>102840</v>
      </c>
      <c r="F91" t="str">
        <f t="shared" si="4"/>
        <v>BREACH</v>
      </c>
      <c r="G91" s="3">
        <v>6.2E-2</v>
      </c>
      <c r="H91">
        <f t="shared" si="5"/>
        <v>6376.08</v>
      </c>
      <c r="I91" s="1" t="s">
        <v>46</v>
      </c>
    </row>
    <row r="92" spans="1:9" x14ac:dyDescent="0.3">
      <c r="A92" t="s">
        <v>7</v>
      </c>
      <c r="B92" t="s">
        <v>21</v>
      </c>
      <c r="C92">
        <v>336416</v>
      </c>
      <c r="D92">
        <v>279730</v>
      </c>
      <c r="E92">
        <f t="shared" si="3"/>
        <v>0</v>
      </c>
      <c r="F92" t="str">
        <f t="shared" si="4"/>
        <v>COMPLIANT</v>
      </c>
      <c r="G92" s="3">
        <v>6.0999999999999999E-2</v>
      </c>
      <c r="H92">
        <f t="shared" si="5"/>
        <v>0</v>
      </c>
      <c r="I92" s="1" t="s">
        <v>46</v>
      </c>
    </row>
    <row r="93" spans="1:9" x14ac:dyDescent="0.3">
      <c r="A93" t="s">
        <v>7</v>
      </c>
      <c r="B93" t="s">
        <v>22</v>
      </c>
      <c r="C93">
        <v>102661</v>
      </c>
      <c r="D93">
        <v>336182</v>
      </c>
      <c r="E93">
        <f t="shared" si="3"/>
        <v>233521</v>
      </c>
      <c r="F93" t="str">
        <f t="shared" si="4"/>
        <v>BREACH</v>
      </c>
      <c r="G93" s="3">
        <v>7.4999999999999997E-2</v>
      </c>
      <c r="H93">
        <f t="shared" si="5"/>
        <v>17514.075000000001</v>
      </c>
      <c r="I93" s="1" t="s">
        <v>46</v>
      </c>
    </row>
    <row r="94" spans="1:9" x14ac:dyDescent="0.3">
      <c r="A94" t="s">
        <v>7</v>
      </c>
      <c r="B94" t="s">
        <v>23</v>
      </c>
      <c r="C94">
        <v>121176</v>
      </c>
      <c r="D94">
        <v>157681</v>
      </c>
      <c r="E94">
        <f t="shared" si="3"/>
        <v>36505</v>
      </c>
      <c r="F94" t="str">
        <f t="shared" si="4"/>
        <v>BREACH</v>
      </c>
      <c r="G94" s="3">
        <v>5.3999999999999999E-2</v>
      </c>
      <c r="H94">
        <f t="shared" si="5"/>
        <v>1971.27</v>
      </c>
      <c r="I94" s="1" t="s">
        <v>46</v>
      </c>
    </row>
    <row r="95" spans="1:9" x14ac:dyDescent="0.3">
      <c r="A95" t="s">
        <v>7</v>
      </c>
      <c r="B95" t="s">
        <v>24</v>
      </c>
      <c r="C95">
        <v>312716</v>
      </c>
      <c r="D95">
        <v>111276</v>
      </c>
      <c r="E95">
        <f t="shared" si="3"/>
        <v>0</v>
      </c>
      <c r="F95" t="str">
        <f t="shared" si="4"/>
        <v>COMPLIANT</v>
      </c>
      <c r="G95" s="3">
        <v>0.05</v>
      </c>
      <c r="H95">
        <f t="shared" si="5"/>
        <v>0</v>
      </c>
      <c r="I95" s="1" t="s">
        <v>46</v>
      </c>
    </row>
    <row r="96" spans="1:9" x14ac:dyDescent="0.3">
      <c r="A96" t="s">
        <v>7</v>
      </c>
      <c r="B96" t="s">
        <v>25</v>
      </c>
      <c r="C96">
        <v>257161</v>
      </c>
      <c r="D96">
        <v>207832</v>
      </c>
      <c r="E96">
        <f t="shared" si="3"/>
        <v>0</v>
      </c>
      <c r="F96" t="str">
        <f t="shared" si="4"/>
        <v>COMPLIANT</v>
      </c>
      <c r="G96" s="3">
        <v>5.7000000000000002E-2</v>
      </c>
      <c r="H96">
        <f t="shared" si="5"/>
        <v>0</v>
      </c>
      <c r="I96" s="1" t="s">
        <v>46</v>
      </c>
    </row>
    <row r="97" spans="1:9" x14ac:dyDescent="0.3">
      <c r="A97" t="s">
        <v>7</v>
      </c>
      <c r="B97" t="s">
        <v>26</v>
      </c>
      <c r="C97">
        <v>277456</v>
      </c>
      <c r="D97">
        <v>414047</v>
      </c>
      <c r="E97">
        <f t="shared" si="3"/>
        <v>136591</v>
      </c>
      <c r="F97" t="str">
        <f t="shared" si="4"/>
        <v>BREACH</v>
      </c>
      <c r="G97" s="3">
        <v>7.2999999999999995E-2</v>
      </c>
      <c r="H97">
        <f t="shared" si="5"/>
        <v>9971.143</v>
      </c>
      <c r="I97" s="1" t="s">
        <v>46</v>
      </c>
    </row>
    <row r="98" spans="1:9" x14ac:dyDescent="0.3">
      <c r="A98" t="s">
        <v>8</v>
      </c>
      <c r="B98" t="s">
        <v>15</v>
      </c>
      <c r="C98">
        <v>81185</v>
      </c>
      <c r="D98">
        <v>206880</v>
      </c>
      <c r="E98">
        <f t="shared" si="3"/>
        <v>125695</v>
      </c>
      <c r="F98" t="str">
        <f t="shared" si="4"/>
        <v>BREACH</v>
      </c>
      <c r="G98" s="3">
        <v>7.4999999999999997E-2</v>
      </c>
      <c r="H98">
        <f t="shared" si="5"/>
        <v>9427.125</v>
      </c>
      <c r="I98" s="1" t="s">
        <v>46</v>
      </c>
    </row>
    <row r="99" spans="1:9" x14ac:dyDescent="0.3">
      <c r="A99" t="s">
        <v>8</v>
      </c>
      <c r="B99" t="s">
        <v>16</v>
      </c>
      <c r="C99">
        <v>341102</v>
      </c>
      <c r="D99">
        <v>136486</v>
      </c>
      <c r="E99">
        <f t="shared" si="3"/>
        <v>0</v>
      </c>
      <c r="F99" t="str">
        <f t="shared" si="4"/>
        <v>COMPLIANT</v>
      </c>
      <c r="G99" s="3">
        <v>7.2999999999999995E-2</v>
      </c>
      <c r="H99">
        <f t="shared" si="5"/>
        <v>0</v>
      </c>
      <c r="I99" s="1" t="s">
        <v>46</v>
      </c>
    </row>
    <row r="100" spans="1:9" x14ac:dyDescent="0.3">
      <c r="A100" t="s">
        <v>8</v>
      </c>
      <c r="B100" t="s">
        <v>17</v>
      </c>
      <c r="C100">
        <v>121075</v>
      </c>
      <c r="D100">
        <v>251680</v>
      </c>
      <c r="E100">
        <f t="shared" si="3"/>
        <v>130605</v>
      </c>
      <c r="F100" t="str">
        <f t="shared" si="4"/>
        <v>BREACH</v>
      </c>
      <c r="G100" s="3">
        <v>6.0999999999999999E-2</v>
      </c>
      <c r="H100">
        <f t="shared" si="5"/>
        <v>7966.9049999999997</v>
      </c>
      <c r="I100" s="1" t="s">
        <v>46</v>
      </c>
    </row>
    <row r="101" spans="1:9" x14ac:dyDescent="0.3">
      <c r="A101" t="s">
        <v>8</v>
      </c>
      <c r="B101" t="s">
        <v>18</v>
      </c>
      <c r="C101">
        <v>202454</v>
      </c>
      <c r="D101">
        <v>219195</v>
      </c>
      <c r="E101">
        <f t="shared" si="3"/>
        <v>16741</v>
      </c>
      <c r="F101" t="str">
        <f t="shared" si="4"/>
        <v>BREACH</v>
      </c>
      <c r="G101" s="3">
        <v>5.5E-2</v>
      </c>
      <c r="H101">
        <f t="shared" si="5"/>
        <v>920.755</v>
      </c>
      <c r="I101" s="1" t="s">
        <v>46</v>
      </c>
    </row>
    <row r="102" spans="1:9" x14ac:dyDescent="0.3">
      <c r="A102" t="s">
        <v>8</v>
      </c>
      <c r="B102" t="s">
        <v>19</v>
      </c>
      <c r="C102">
        <v>146388</v>
      </c>
      <c r="D102">
        <v>333286</v>
      </c>
      <c r="E102">
        <f t="shared" si="3"/>
        <v>186898</v>
      </c>
      <c r="F102" t="str">
        <f t="shared" si="4"/>
        <v>BREACH</v>
      </c>
      <c r="G102" s="3">
        <v>7.3999999999999996E-2</v>
      </c>
      <c r="H102">
        <f t="shared" si="5"/>
        <v>13830.451999999999</v>
      </c>
      <c r="I102" s="1" t="s">
        <v>46</v>
      </c>
    </row>
    <row r="103" spans="1:9" x14ac:dyDescent="0.3">
      <c r="A103" t="s">
        <v>8</v>
      </c>
      <c r="B103" t="s">
        <v>20</v>
      </c>
      <c r="C103">
        <v>97720</v>
      </c>
      <c r="D103">
        <v>124267</v>
      </c>
      <c r="E103">
        <f t="shared" si="3"/>
        <v>26547</v>
      </c>
      <c r="F103" t="str">
        <f t="shared" si="4"/>
        <v>BREACH</v>
      </c>
      <c r="G103" s="3">
        <v>7.0000000000000007E-2</v>
      </c>
      <c r="H103">
        <f t="shared" si="5"/>
        <v>1858.2900000000002</v>
      </c>
      <c r="I103" s="1" t="s">
        <v>46</v>
      </c>
    </row>
    <row r="104" spans="1:9" x14ac:dyDescent="0.3">
      <c r="A104" t="s">
        <v>8</v>
      </c>
      <c r="B104" t="s">
        <v>21</v>
      </c>
      <c r="C104">
        <v>149696</v>
      </c>
      <c r="D104">
        <v>281899</v>
      </c>
      <c r="E104">
        <f t="shared" si="3"/>
        <v>132203</v>
      </c>
      <c r="F104" t="str">
        <f t="shared" si="4"/>
        <v>BREACH</v>
      </c>
      <c r="G104" s="3">
        <v>7.0999999999999994E-2</v>
      </c>
      <c r="H104">
        <f t="shared" si="5"/>
        <v>9386.4129999999986</v>
      </c>
      <c r="I104" s="1" t="s">
        <v>46</v>
      </c>
    </row>
    <row r="105" spans="1:9" x14ac:dyDescent="0.3">
      <c r="A105" t="s">
        <v>8</v>
      </c>
      <c r="B105" t="s">
        <v>22</v>
      </c>
      <c r="C105">
        <v>182888</v>
      </c>
      <c r="D105">
        <v>427452</v>
      </c>
      <c r="E105">
        <f t="shared" si="3"/>
        <v>244564</v>
      </c>
      <c r="F105" t="str">
        <f t="shared" si="4"/>
        <v>BREACH</v>
      </c>
      <c r="G105" s="3">
        <v>7.3999999999999996E-2</v>
      </c>
      <c r="H105">
        <f t="shared" si="5"/>
        <v>18097.736000000001</v>
      </c>
      <c r="I105" s="1" t="s">
        <v>46</v>
      </c>
    </row>
    <row r="106" spans="1:9" x14ac:dyDescent="0.3">
      <c r="A106" t="s">
        <v>8</v>
      </c>
      <c r="B106" t="s">
        <v>23</v>
      </c>
      <c r="C106">
        <v>213898</v>
      </c>
      <c r="D106">
        <v>428660</v>
      </c>
      <c r="E106">
        <f t="shared" si="3"/>
        <v>214762</v>
      </c>
      <c r="F106" t="str">
        <f t="shared" si="4"/>
        <v>BREACH</v>
      </c>
      <c r="G106" s="3">
        <v>6.3E-2</v>
      </c>
      <c r="H106">
        <f t="shared" si="5"/>
        <v>13530.005999999999</v>
      </c>
      <c r="I106" s="1" t="s">
        <v>46</v>
      </c>
    </row>
    <row r="107" spans="1:9" x14ac:dyDescent="0.3">
      <c r="A107" t="s">
        <v>8</v>
      </c>
      <c r="B107" t="s">
        <v>24</v>
      </c>
      <c r="C107">
        <v>343984</v>
      </c>
      <c r="D107">
        <v>393131</v>
      </c>
      <c r="E107">
        <f t="shared" si="3"/>
        <v>49147</v>
      </c>
      <c r="F107" t="str">
        <f t="shared" si="4"/>
        <v>BREACH</v>
      </c>
      <c r="G107" s="3">
        <v>7.3999999999999996E-2</v>
      </c>
      <c r="H107">
        <f t="shared" si="5"/>
        <v>3636.8779999999997</v>
      </c>
      <c r="I107" s="1" t="s">
        <v>46</v>
      </c>
    </row>
    <row r="108" spans="1:9" x14ac:dyDescent="0.3">
      <c r="A108" t="s">
        <v>8</v>
      </c>
      <c r="B108" t="s">
        <v>25</v>
      </c>
      <c r="C108">
        <v>132500</v>
      </c>
      <c r="D108">
        <v>312219</v>
      </c>
      <c r="E108">
        <f t="shared" si="3"/>
        <v>179719</v>
      </c>
      <c r="F108" t="str">
        <f t="shared" si="4"/>
        <v>BREACH</v>
      </c>
      <c r="G108" s="3">
        <v>7.2999999999999995E-2</v>
      </c>
      <c r="H108">
        <f t="shared" si="5"/>
        <v>13119.486999999999</v>
      </c>
      <c r="I108" s="1" t="s">
        <v>46</v>
      </c>
    </row>
    <row r="109" spans="1:9" x14ac:dyDescent="0.3">
      <c r="A109" t="s">
        <v>8</v>
      </c>
      <c r="B109" t="s">
        <v>26</v>
      </c>
      <c r="C109">
        <v>166989</v>
      </c>
      <c r="D109">
        <v>393918</v>
      </c>
      <c r="E109">
        <f t="shared" si="3"/>
        <v>226929</v>
      </c>
      <c r="F109" t="str">
        <f t="shared" si="4"/>
        <v>BREACH</v>
      </c>
      <c r="G109" s="3">
        <v>5.8000000000000003E-2</v>
      </c>
      <c r="H109">
        <f t="shared" si="5"/>
        <v>13161.882000000001</v>
      </c>
      <c r="I109" s="1" t="s">
        <v>46</v>
      </c>
    </row>
    <row r="110" spans="1:9" x14ac:dyDescent="0.3">
      <c r="A110" t="s">
        <v>9</v>
      </c>
      <c r="B110" t="s">
        <v>15</v>
      </c>
      <c r="C110">
        <v>97732</v>
      </c>
      <c r="D110">
        <v>193793</v>
      </c>
      <c r="E110">
        <f t="shared" si="3"/>
        <v>96061</v>
      </c>
      <c r="F110" t="str">
        <f t="shared" si="4"/>
        <v>BREACH</v>
      </c>
      <c r="G110" s="3">
        <v>7.3999999999999996E-2</v>
      </c>
      <c r="H110">
        <f t="shared" si="5"/>
        <v>7108.5139999999992</v>
      </c>
      <c r="I110" s="1" t="s">
        <v>47</v>
      </c>
    </row>
    <row r="111" spans="1:9" x14ac:dyDescent="0.3">
      <c r="A111" t="s">
        <v>9</v>
      </c>
      <c r="B111" t="s">
        <v>16</v>
      </c>
      <c r="C111">
        <v>386748</v>
      </c>
      <c r="D111">
        <v>364274</v>
      </c>
      <c r="E111">
        <f t="shared" si="3"/>
        <v>0</v>
      </c>
      <c r="F111" t="str">
        <f t="shared" si="4"/>
        <v>COMPLIANT</v>
      </c>
      <c r="G111" s="3">
        <v>7.1999999999999995E-2</v>
      </c>
      <c r="H111">
        <f t="shared" si="5"/>
        <v>0</v>
      </c>
      <c r="I111" s="1" t="s">
        <v>47</v>
      </c>
    </row>
    <row r="112" spans="1:9" x14ac:dyDescent="0.3">
      <c r="A112" t="s">
        <v>9</v>
      </c>
      <c r="B112" t="s">
        <v>17</v>
      </c>
      <c r="C112">
        <v>345310</v>
      </c>
      <c r="D112">
        <v>407130</v>
      </c>
      <c r="E112">
        <f t="shared" si="3"/>
        <v>61820</v>
      </c>
      <c r="F112" t="str">
        <f t="shared" si="4"/>
        <v>BREACH</v>
      </c>
      <c r="G112" s="3">
        <v>4.9000000000000002E-2</v>
      </c>
      <c r="H112">
        <f t="shared" si="5"/>
        <v>3029.1800000000003</v>
      </c>
      <c r="I112" s="1" t="s">
        <v>47</v>
      </c>
    </row>
    <row r="113" spans="1:9" x14ac:dyDescent="0.3">
      <c r="A113" t="s">
        <v>9</v>
      </c>
      <c r="B113" t="s">
        <v>18</v>
      </c>
      <c r="C113">
        <v>434709</v>
      </c>
      <c r="D113">
        <v>216103</v>
      </c>
      <c r="E113">
        <f t="shared" si="3"/>
        <v>0</v>
      </c>
      <c r="F113" t="str">
        <f t="shared" si="4"/>
        <v>COMPLIANT</v>
      </c>
      <c r="G113" s="3">
        <v>4.8000000000000001E-2</v>
      </c>
      <c r="H113">
        <f t="shared" si="5"/>
        <v>0</v>
      </c>
      <c r="I113" s="1" t="s">
        <v>47</v>
      </c>
    </row>
    <row r="114" spans="1:9" x14ac:dyDescent="0.3">
      <c r="A114" t="s">
        <v>9</v>
      </c>
      <c r="B114" t="s">
        <v>19</v>
      </c>
      <c r="C114">
        <v>268069</v>
      </c>
      <c r="D114">
        <v>251834</v>
      </c>
      <c r="E114">
        <f t="shared" si="3"/>
        <v>0</v>
      </c>
      <c r="F114" t="str">
        <f t="shared" si="4"/>
        <v>COMPLIANT</v>
      </c>
      <c r="G114" s="3">
        <v>6.3E-2</v>
      </c>
      <c r="H114">
        <f t="shared" si="5"/>
        <v>0</v>
      </c>
      <c r="I114" s="1" t="s">
        <v>47</v>
      </c>
    </row>
    <row r="115" spans="1:9" x14ac:dyDescent="0.3">
      <c r="A115" t="s">
        <v>9</v>
      </c>
      <c r="B115" t="s">
        <v>20</v>
      </c>
      <c r="C115">
        <v>235614</v>
      </c>
      <c r="D115">
        <v>339071</v>
      </c>
      <c r="E115">
        <f t="shared" si="3"/>
        <v>103457</v>
      </c>
      <c r="F115" t="str">
        <f t="shared" si="4"/>
        <v>BREACH</v>
      </c>
      <c r="G115" s="3">
        <v>6.7000000000000004E-2</v>
      </c>
      <c r="H115">
        <f t="shared" si="5"/>
        <v>6931.6190000000006</v>
      </c>
      <c r="I115" s="1" t="s">
        <v>47</v>
      </c>
    </row>
    <row r="116" spans="1:9" x14ac:dyDescent="0.3">
      <c r="A116" t="s">
        <v>9</v>
      </c>
      <c r="B116" t="s">
        <v>21</v>
      </c>
      <c r="C116">
        <v>245717</v>
      </c>
      <c r="D116">
        <v>160168</v>
      </c>
      <c r="E116">
        <f t="shared" si="3"/>
        <v>0</v>
      </c>
      <c r="F116" t="str">
        <f t="shared" si="4"/>
        <v>COMPLIANT</v>
      </c>
      <c r="G116" s="3">
        <v>4.4999999999999998E-2</v>
      </c>
      <c r="H116">
        <f t="shared" si="5"/>
        <v>0</v>
      </c>
      <c r="I116" s="1" t="s">
        <v>47</v>
      </c>
    </row>
    <row r="117" spans="1:9" x14ac:dyDescent="0.3">
      <c r="A117" t="s">
        <v>9</v>
      </c>
      <c r="B117" t="s">
        <v>22</v>
      </c>
      <c r="C117">
        <v>94507</v>
      </c>
      <c r="D117">
        <v>80395</v>
      </c>
      <c r="E117">
        <f t="shared" si="3"/>
        <v>0</v>
      </c>
      <c r="F117" t="str">
        <f t="shared" si="4"/>
        <v>COMPLIANT</v>
      </c>
      <c r="G117" s="3">
        <v>6.9000000000000006E-2</v>
      </c>
      <c r="H117">
        <f t="shared" si="5"/>
        <v>0</v>
      </c>
      <c r="I117" s="1" t="s">
        <v>47</v>
      </c>
    </row>
    <row r="118" spans="1:9" x14ac:dyDescent="0.3">
      <c r="A118" t="s">
        <v>9</v>
      </c>
      <c r="B118" t="s">
        <v>23</v>
      </c>
      <c r="C118">
        <v>189734</v>
      </c>
      <c r="D118">
        <v>281543</v>
      </c>
      <c r="E118">
        <f t="shared" si="3"/>
        <v>91809</v>
      </c>
      <c r="F118" t="str">
        <f t="shared" si="4"/>
        <v>BREACH</v>
      </c>
      <c r="G118" s="3">
        <v>5.3999999999999999E-2</v>
      </c>
      <c r="H118">
        <f t="shared" si="5"/>
        <v>4957.6859999999997</v>
      </c>
      <c r="I118" s="1" t="s">
        <v>47</v>
      </c>
    </row>
    <row r="119" spans="1:9" x14ac:dyDescent="0.3">
      <c r="A119" t="s">
        <v>9</v>
      </c>
      <c r="B119" t="s">
        <v>24</v>
      </c>
      <c r="C119">
        <v>347109</v>
      </c>
      <c r="D119">
        <v>316930</v>
      </c>
      <c r="E119">
        <f t="shared" si="3"/>
        <v>0</v>
      </c>
      <c r="F119" t="str">
        <f t="shared" si="4"/>
        <v>COMPLIANT</v>
      </c>
      <c r="G119" s="3">
        <v>6.9000000000000006E-2</v>
      </c>
      <c r="H119">
        <f t="shared" si="5"/>
        <v>0</v>
      </c>
      <c r="I119" s="1" t="s">
        <v>47</v>
      </c>
    </row>
    <row r="120" spans="1:9" x14ac:dyDescent="0.3">
      <c r="A120" t="s">
        <v>9</v>
      </c>
      <c r="B120" t="s">
        <v>25</v>
      </c>
      <c r="C120">
        <v>117257</v>
      </c>
      <c r="D120">
        <v>231927</v>
      </c>
      <c r="E120">
        <f t="shared" si="3"/>
        <v>114670</v>
      </c>
      <c r="F120" t="str">
        <f t="shared" si="4"/>
        <v>BREACH</v>
      </c>
      <c r="G120" s="3">
        <v>6.4000000000000001E-2</v>
      </c>
      <c r="H120">
        <f t="shared" si="5"/>
        <v>7338.88</v>
      </c>
      <c r="I120" s="1" t="s">
        <v>47</v>
      </c>
    </row>
    <row r="121" spans="1:9" x14ac:dyDescent="0.3">
      <c r="A121" t="s">
        <v>9</v>
      </c>
      <c r="B121" t="s">
        <v>26</v>
      </c>
      <c r="C121">
        <v>172347</v>
      </c>
      <c r="D121">
        <v>290106</v>
      </c>
      <c r="E121">
        <f t="shared" si="3"/>
        <v>117759</v>
      </c>
      <c r="F121" t="str">
        <f t="shared" si="4"/>
        <v>BREACH</v>
      </c>
      <c r="G121" s="3">
        <v>4.8000000000000001E-2</v>
      </c>
      <c r="H121">
        <f t="shared" si="5"/>
        <v>5652.4319999999998</v>
      </c>
      <c r="I121" s="1" t="s">
        <v>47</v>
      </c>
    </row>
    <row r="122" spans="1:9" x14ac:dyDescent="0.3">
      <c r="A122" t="s">
        <v>10</v>
      </c>
      <c r="B122" t="s">
        <v>15</v>
      </c>
      <c r="C122">
        <v>266985</v>
      </c>
      <c r="D122">
        <v>447361</v>
      </c>
      <c r="E122">
        <f t="shared" si="3"/>
        <v>180376</v>
      </c>
      <c r="F122" t="str">
        <f t="shared" si="4"/>
        <v>BREACH</v>
      </c>
      <c r="G122" s="3">
        <v>5.6000000000000001E-2</v>
      </c>
      <c r="H122">
        <f t="shared" si="5"/>
        <v>10101.056</v>
      </c>
      <c r="I122" s="1" t="s">
        <v>47</v>
      </c>
    </row>
    <row r="123" spans="1:9" x14ac:dyDescent="0.3">
      <c r="A123" t="s">
        <v>10</v>
      </c>
      <c r="B123" t="s">
        <v>16</v>
      </c>
      <c r="C123">
        <v>402878</v>
      </c>
      <c r="D123">
        <v>281413</v>
      </c>
      <c r="E123">
        <f t="shared" si="3"/>
        <v>0</v>
      </c>
      <c r="F123" t="str">
        <f t="shared" si="4"/>
        <v>COMPLIANT</v>
      </c>
      <c r="G123" s="3">
        <v>5.0999999999999997E-2</v>
      </c>
      <c r="H123">
        <f t="shared" si="5"/>
        <v>0</v>
      </c>
      <c r="I123" s="1" t="s">
        <v>47</v>
      </c>
    </row>
    <row r="124" spans="1:9" x14ac:dyDescent="0.3">
      <c r="A124" t="s">
        <v>10</v>
      </c>
      <c r="B124" t="s">
        <v>17</v>
      </c>
      <c r="C124">
        <v>419484</v>
      </c>
      <c r="D124">
        <v>291833</v>
      </c>
      <c r="E124">
        <f t="shared" si="3"/>
        <v>0</v>
      </c>
      <c r="F124" t="str">
        <f t="shared" si="4"/>
        <v>COMPLIANT</v>
      </c>
      <c r="G124" s="3">
        <v>6.8000000000000005E-2</v>
      </c>
      <c r="H124">
        <f t="shared" si="5"/>
        <v>0</v>
      </c>
      <c r="I124" s="1" t="s">
        <v>47</v>
      </c>
    </row>
    <row r="125" spans="1:9" x14ac:dyDescent="0.3">
      <c r="A125" t="s">
        <v>10</v>
      </c>
      <c r="B125" t="s">
        <v>18</v>
      </c>
      <c r="C125">
        <v>258956</v>
      </c>
      <c r="D125">
        <v>303053</v>
      </c>
      <c r="E125">
        <f t="shared" si="3"/>
        <v>44097</v>
      </c>
      <c r="F125" t="str">
        <f t="shared" si="4"/>
        <v>BREACH</v>
      </c>
      <c r="G125" s="3">
        <v>5.6000000000000001E-2</v>
      </c>
      <c r="H125">
        <f t="shared" si="5"/>
        <v>2469.4320000000002</v>
      </c>
      <c r="I125" s="1" t="s">
        <v>47</v>
      </c>
    </row>
    <row r="126" spans="1:9" x14ac:dyDescent="0.3">
      <c r="A126" t="s">
        <v>10</v>
      </c>
      <c r="B126" t="s">
        <v>19</v>
      </c>
      <c r="C126">
        <v>139290</v>
      </c>
      <c r="D126">
        <v>254545</v>
      </c>
      <c r="E126">
        <f t="shared" si="3"/>
        <v>115255</v>
      </c>
      <c r="F126" t="str">
        <f t="shared" si="4"/>
        <v>BREACH</v>
      </c>
      <c r="G126" s="3">
        <v>4.7E-2</v>
      </c>
      <c r="H126">
        <f t="shared" si="5"/>
        <v>5416.9849999999997</v>
      </c>
      <c r="I126" s="1" t="s">
        <v>47</v>
      </c>
    </row>
    <row r="127" spans="1:9" x14ac:dyDescent="0.3">
      <c r="A127" t="s">
        <v>10</v>
      </c>
      <c r="B127" t="s">
        <v>20</v>
      </c>
      <c r="C127">
        <v>233399</v>
      </c>
      <c r="D127">
        <v>216210</v>
      </c>
      <c r="E127">
        <f t="shared" si="3"/>
        <v>0</v>
      </c>
      <c r="F127" t="str">
        <f t="shared" si="4"/>
        <v>COMPLIANT</v>
      </c>
      <c r="G127" s="3">
        <v>5.5E-2</v>
      </c>
      <c r="H127">
        <f t="shared" si="5"/>
        <v>0</v>
      </c>
      <c r="I127" s="1" t="s">
        <v>47</v>
      </c>
    </row>
    <row r="128" spans="1:9" x14ac:dyDescent="0.3">
      <c r="A128" t="s">
        <v>10</v>
      </c>
      <c r="B128" t="s">
        <v>21</v>
      </c>
      <c r="C128">
        <v>306471</v>
      </c>
      <c r="D128">
        <v>448512</v>
      </c>
      <c r="E128">
        <f t="shared" si="3"/>
        <v>142041</v>
      </c>
      <c r="F128" t="str">
        <f t="shared" si="4"/>
        <v>BREACH</v>
      </c>
      <c r="G128" s="3">
        <v>6.3E-2</v>
      </c>
      <c r="H128">
        <f t="shared" si="5"/>
        <v>8948.5830000000005</v>
      </c>
      <c r="I128" s="1" t="s">
        <v>47</v>
      </c>
    </row>
    <row r="129" spans="1:9" x14ac:dyDescent="0.3">
      <c r="A129" t="s">
        <v>10</v>
      </c>
      <c r="B129" t="s">
        <v>22</v>
      </c>
      <c r="C129">
        <v>219960</v>
      </c>
      <c r="D129">
        <v>273147</v>
      </c>
      <c r="E129">
        <f t="shared" si="3"/>
        <v>53187</v>
      </c>
      <c r="F129" t="str">
        <f t="shared" si="4"/>
        <v>BREACH</v>
      </c>
      <c r="G129" s="3">
        <v>5.5E-2</v>
      </c>
      <c r="H129">
        <f t="shared" si="5"/>
        <v>2925.2849999999999</v>
      </c>
      <c r="I129" s="1" t="s">
        <v>47</v>
      </c>
    </row>
    <row r="130" spans="1:9" x14ac:dyDescent="0.3">
      <c r="A130" t="s">
        <v>10</v>
      </c>
      <c r="B130" t="s">
        <v>23</v>
      </c>
      <c r="C130">
        <v>320262</v>
      </c>
      <c r="D130">
        <v>233777</v>
      </c>
      <c r="E130">
        <f t="shared" si="3"/>
        <v>0</v>
      </c>
      <c r="F130" t="str">
        <f t="shared" si="4"/>
        <v>COMPLIANT</v>
      </c>
      <c r="G130" s="3">
        <v>0.06</v>
      </c>
      <c r="H130">
        <f t="shared" si="5"/>
        <v>0</v>
      </c>
      <c r="I130" s="1" t="s">
        <v>47</v>
      </c>
    </row>
    <row r="131" spans="1:9" x14ac:dyDescent="0.3">
      <c r="A131" t="s">
        <v>10</v>
      </c>
      <c r="B131" t="s">
        <v>24</v>
      </c>
      <c r="C131">
        <v>414765</v>
      </c>
      <c r="D131">
        <v>84404</v>
      </c>
      <c r="E131">
        <f t="shared" ref="E131:E181" si="6">MAX(D131 - C131, 0)</f>
        <v>0</v>
      </c>
      <c r="F131" t="str">
        <f t="shared" ref="F131:F181" si="7">IF(E131 &gt; 0, "BREACH", "COMPLIANT")</f>
        <v>COMPLIANT</v>
      </c>
      <c r="G131" s="3">
        <v>6.2E-2</v>
      </c>
      <c r="H131">
        <f t="shared" ref="H131:H181" si="8">E131 * G131</f>
        <v>0</v>
      </c>
      <c r="I131" s="1" t="s">
        <v>47</v>
      </c>
    </row>
    <row r="132" spans="1:9" x14ac:dyDescent="0.3">
      <c r="A132" t="s">
        <v>10</v>
      </c>
      <c r="B132" t="s">
        <v>25</v>
      </c>
      <c r="C132">
        <v>142373</v>
      </c>
      <c r="D132">
        <v>286000</v>
      </c>
      <c r="E132">
        <f t="shared" si="6"/>
        <v>143627</v>
      </c>
      <c r="F132" t="str">
        <f t="shared" si="7"/>
        <v>BREACH</v>
      </c>
      <c r="G132" s="3">
        <v>6.6000000000000003E-2</v>
      </c>
      <c r="H132">
        <f t="shared" si="8"/>
        <v>9479.3819999999996</v>
      </c>
      <c r="I132" s="1" t="s">
        <v>47</v>
      </c>
    </row>
    <row r="133" spans="1:9" x14ac:dyDescent="0.3">
      <c r="A133" t="s">
        <v>10</v>
      </c>
      <c r="B133" t="s">
        <v>26</v>
      </c>
      <c r="C133">
        <v>392288</v>
      </c>
      <c r="D133">
        <v>311641</v>
      </c>
      <c r="E133">
        <f t="shared" si="6"/>
        <v>0</v>
      </c>
      <c r="F133" t="str">
        <f t="shared" si="7"/>
        <v>COMPLIANT</v>
      </c>
      <c r="G133" s="3">
        <v>6.2E-2</v>
      </c>
      <c r="H133">
        <f t="shared" si="8"/>
        <v>0</v>
      </c>
      <c r="I133" s="1" t="s">
        <v>47</v>
      </c>
    </row>
    <row r="134" spans="1:9" x14ac:dyDescent="0.3">
      <c r="A134" t="s">
        <v>11</v>
      </c>
      <c r="B134" t="s">
        <v>15</v>
      </c>
      <c r="C134">
        <v>405055</v>
      </c>
      <c r="D134">
        <v>127176</v>
      </c>
      <c r="E134">
        <f t="shared" si="6"/>
        <v>0</v>
      </c>
      <c r="F134" t="str">
        <f t="shared" si="7"/>
        <v>COMPLIANT</v>
      </c>
      <c r="G134" s="3">
        <v>6.5000000000000002E-2</v>
      </c>
      <c r="H134">
        <f t="shared" si="8"/>
        <v>0</v>
      </c>
      <c r="I134" s="1" t="s">
        <v>47</v>
      </c>
    </row>
    <row r="135" spans="1:9" x14ac:dyDescent="0.3">
      <c r="A135" t="s">
        <v>11</v>
      </c>
      <c r="B135" t="s">
        <v>16</v>
      </c>
      <c r="C135">
        <v>224957</v>
      </c>
      <c r="D135">
        <v>351952</v>
      </c>
      <c r="E135">
        <f t="shared" si="6"/>
        <v>126995</v>
      </c>
      <c r="F135" t="str">
        <f t="shared" si="7"/>
        <v>BREACH</v>
      </c>
      <c r="G135" s="3">
        <v>0.05</v>
      </c>
      <c r="H135">
        <f t="shared" si="8"/>
        <v>6349.75</v>
      </c>
      <c r="I135" s="1" t="s">
        <v>47</v>
      </c>
    </row>
    <row r="136" spans="1:9" x14ac:dyDescent="0.3">
      <c r="A136" t="s">
        <v>11</v>
      </c>
      <c r="B136" t="s">
        <v>17</v>
      </c>
      <c r="C136">
        <v>295515</v>
      </c>
      <c r="D136">
        <v>413265</v>
      </c>
      <c r="E136">
        <f t="shared" si="6"/>
        <v>117750</v>
      </c>
      <c r="F136" t="str">
        <f t="shared" si="7"/>
        <v>BREACH</v>
      </c>
      <c r="G136" s="3">
        <v>5.0999999999999997E-2</v>
      </c>
      <c r="H136">
        <f t="shared" si="8"/>
        <v>6005.25</v>
      </c>
      <c r="I136" s="1" t="s">
        <v>47</v>
      </c>
    </row>
    <row r="137" spans="1:9" x14ac:dyDescent="0.3">
      <c r="A137" t="s">
        <v>11</v>
      </c>
      <c r="B137" t="s">
        <v>18</v>
      </c>
      <c r="C137">
        <v>433233</v>
      </c>
      <c r="D137">
        <v>292735</v>
      </c>
      <c r="E137">
        <f t="shared" si="6"/>
        <v>0</v>
      </c>
      <c r="F137" t="str">
        <f t="shared" si="7"/>
        <v>COMPLIANT</v>
      </c>
      <c r="G137" s="3">
        <v>5.3999999999999999E-2</v>
      </c>
      <c r="H137">
        <f t="shared" si="8"/>
        <v>0</v>
      </c>
      <c r="I137" s="1" t="s">
        <v>47</v>
      </c>
    </row>
    <row r="138" spans="1:9" x14ac:dyDescent="0.3">
      <c r="A138" t="s">
        <v>11</v>
      </c>
      <c r="B138" t="s">
        <v>19</v>
      </c>
      <c r="C138">
        <v>137530</v>
      </c>
      <c r="D138">
        <v>296878</v>
      </c>
      <c r="E138">
        <f t="shared" si="6"/>
        <v>159348</v>
      </c>
      <c r="F138" t="str">
        <f t="shared" si="7"/>
        <v>BREACH</v>
      </c>
      <c r="G138" s="3">
        <v>7.4999999999999997E-2</v>
      </c>
      <c r="H138">
        <f t="shared" si="8"/>
        <v>11951.1</v>
      </c>
      <c r="I138" s="1" t="s">
        <v>47</v>
      </c>
    </row>
    <row r="139" spans="1:9" x14ac:dyDescent="0.3">
      <c r="A139" t="s">
        <v>11</v>
      </c>
      <c r="B139" t="s">
        <v>20</v>
      </c>
      <c r="C139">
        <v>238375</v>
      </c>
      <c r="D139">
        <v>230092</v>
      </c>
      <c r="E139">
        <f t="shared" si="6"/>
        <v>0</v>
      </c>
      <c r="F139" t="str">
        <f t="shared" si="7"/>
        <v>COMPLIANT</v>
      </c>
      <c r="G139" s="3">
        <v>6.8000000000000005E-2</v>
      </c>
      <c r="H139">
        <f t="shared" si="8"/>
        <v>0</v>
      </c>
      <c r="I139" s="1" t="s">
        <v>47</v>
      </c>
    </row>
    <row r="140" spans="1:9" x14ac:dyDescent="0.3">
      <c r="A140" t="s">
        <v>11</v>
      </c>
      <c r="B140" t="s">
        <v>21</v>
      </c>
      <c r="C140">
        <v>115041</v>
      </c>
      <c r="D140">
        <v>234903</v>
      </c>
      <c r="E140">
        <f t="shared" si="6"/>
        <v>119862</v>
      </c>
      <c r="F140" t="str">
        <f t="shared" si="7"/>
        <v>BREACH</v>
      </c>
      <c r="G140" s="3">
        <v>6.9000000000000006E-2</v>
      </c>
      <c r="H140">
        <f t="shared" si="8"/>
        <v>8270.478000000001</v>
      </c>
      <c r="I140" s="1" t="s">
        <v>47</v>
      </c>
    </row>
    <row r="141" spans="1:9" x14ac:dyDescent="0.3">
      <c r="A141" t="s">
        <v>11</v>
      </c>
      <c r="B141" t="s">
        <v>22</v>
      </c>
      <c r="C141">
        <v>190502</v>
      </c>
      <c r="D141">
        <v>133079</v>
      </c>
      <c r="E141">
        <f t="shared" si="6"/>
        <v>0</v>
      </c>
      <c r="F141" t="str">
        <f t="shared" si="7"/>
        <v>COMPLIANT</v>
      </c>
      <c r="G141" s="3">
        <v>7.0999999999999994E-2</v>
      </c>
      <c r="H141">
        <f t="shared" si="8"/>
        <v>0</v>
      </c>
      <c r="I141" s="1" t="s">
        <v>47</v>
      </c>
    </row>
    <row r="142" spans="1:9" x14ac:dyDescent="0.3">
      <c r="A142" t="s">
        <v>11</v>
      </c>
      <c r="B142" t="s">
        <v>23</v>
      </c>
      <c r="C142">
        <v>127586</v>
      </c>
      <c r="D142">
        <v>319285</v>
      </c>
      <c r="E142">
        <f t="shared" si="6"/>
        <v>191699</v>
      </c>
      <c r="F142" t="str">
        <f t="shared" si="7"/>
        <v>BREACH</v>
      </c>
      <c r="G142" s="3">
        <v>6.6000000000000003E-2</v>
      </c>
      <c r="H142">
        <f t="shared" si="8"/>
        <v>12652.134</v>
      </c>
      <c r="I142" s="1" t="s">
        <v>47</v>
      </c>
    </row>
    <row r="143" spans="1:9" x14ac:dyDescent="0.3">
      <c r="A143" t="s">
        <v>11</v>
      </c>
      <c r="B143" t="s">
        <v>24</v>
      </c>
      <c r="C143">
        <v>405997</v>
      </c>
      <c r="D143">
        <v>260349</v>
      </c>
      <c r="E143">
        <f t="shared" si="6"/>
        <v>0</v>
      </c>
      <c r="F143" t="str">
        <f t="shared" si="7"/>
        <v>COMPLIANT</v>
      </c>
      <c r="G143" s="3">
        <v>7.4999999999999997E-2</v>
      </c>
      <c r="H143">
        <f t="shared" si="8"/>
        <v>0</v>
      </c>
      <c r="I143" s="1" t="s">
        <v>47</v>
      </c>
    </row>
    <row r="144" spans="1:9" x14ac:dyDescent="0.3">
      <c r="A144" t="s">
        <v>11</v>
      </c>
      <c r="B144" t="s">
        <v>25</v>
      </c>
      <c r="C144">
        <v>135440</v>
      </c>
      <c r="D144">
        <v>155315</v>
      </c>
      <c r="E144">
        <f t="shared" si="6"/>
        <v>19875</v>
      </c>
      <c r="F144" t="str">
        <f t="shared" si="7"/>
        <v>BREACH</v>
      </c>
      <c r="G144" s="3">
        <v>7.1999999999999995E-2</v>
      </c>
      <c r="H144">
        <f t="shared" si="8"/>
        <v>1431</v>
      </c>
      <c r="I144" s="1" t="s">
        <v>47</v>
      </c>
    </row>
    <row r="145" spans="1:9" x14ac:dyDescent="0.3">
      <c r="A145" t="s">
        <v>11</v>
      </c>
      <c r="B145" t="s">
        <v>26</v>
      </c>
      <c r="C145">
        <v>410043</v>
      </c>
      <c r="D145">
        <v>443412</v>
      </c>
      <c r="E145">
        <f t="shared" si="6"/>
        <v>33369</v>
      </c>
      <c r="F145" t="str">
        <f t="shared" si="7"/>
        <v>BREACH</v>
      </c>
      <c r="G145" s="3">
        <v>6.2E-2</v>
      </c>
      <c r="H145">
        <f t="shared" si="8"/>
        <v>2068.8780000000002</v>
      </c>
      <c r="I145" s="1" t="s">
        <v>47</v>
      </c>
    </row>
    <row r="146" spans="1:9" x14ac:dyDescent="0.3">
      <c r="A146" t="s">
        <v>12</v>
      </c>
      <c r="B146" t="s">
        <v>15</v>
      </c>
      <c r="C146">
        <v>172673</v>
      </c>
      <c r="D146">
        <v>98156</v>
      </c>
      <c r="E146">
        <f t="shared" si="6"/>
        <v>0</v>
      </c>
      <c r="F146" t="str">
        <f t="shared" si="7"/>
        <v>COMPLIANT</v>
      </c>
      <c r="G146" s="3">
        <v>5.8000000000000003E-2</v>
      </c>
      <c r="H146">
        <f t="shared" si="8"/>
        <v>0</v>
      </c>
      <c r="I146" s="1" t="s">
        <v>47</v>
      </c>
    </row>
    <row r="147" spans="1:9" x14ac:dyDescent="0.3">
      <c r="A147" t="s">
        <v>12</v>
      </c>
      <c r="B147" t="s">
        <v>16</v>
      </c>
      <c r="C147">
        <v>221345</v>
      </c>
      <c r="D147">
        <v>304765</v>
      </c>
      <c r="E147">
        <f t="shared" si="6"/>
        <v>83420</v>
      </c>
      <c r="F147" t="str">
        <f t="shared" si="7"/>
        <v>BREACH</v>
      </c>
      <c r="G147" s="3">
        <v>5.5E-2</v>
      </c>
      <c r="H147">
        <f t="shared" si="8"/>
        <v>4588.1000000000004</v>
      </c>
      <c r="I147" s="1" t="s">
        <v>47</v>
      </c>
    </row>
    <row r="148" spans="1:9" x14ac:dyDescent="0.3">
      <c r="A148" t="s">
        <v>12</v>
      </c>
      <c r="B148" t="s">
        <v>17</v>
      </c>
      <c r="C148">
        <v>366552</v>
      </c>
      <c r="D148">
        <v>447093</v>
      </c>
      <c r="E148">
        <f t="shared" si="6"/>
        <v>80541</v>
      </c>
      <c r="F148" t="str">
        <f t="shared" si="7"/>
        <v>BREACH</v>
      </c>
      <c r="G148" s="3">
        <v>5.1999999999999998E-2</v>
      </c>
      <c r="H148">
        <f t="shared" si="8"/>
        <v>4188.1319999999996</v>
      </c>
      <c r="I148" s="1" t="s">
        <v>48</v>
      </c>
    </row>
    <row r="149" spans="1:9" x14ac:dyDescent="0.3">
      <c r="A149" t="s">
        <v>12</v>
      </c>
      <c r="B149" t="s">
        <v>18</v>
      </c>
      <c r="C149">
        <v>395538</v>
      </c>
      <c r="D149">
        <v>119149</v>
      </c>
      <c r="E149">
        <f t="shared" si="6"/>
        <v>0</v>
      </c>
      <c r="F149" t="str">
        <f t="shared" si="7"/>
        <v>COMPLIANT</v>
      </c>
      <c r="G149" s="3">
        <v>7.3999999999999996E-2</v>
      </c>
      <c r="H149">
        <f t="shared" si="8"/>
        <v>0</v>
      </c>
      <c r="I149" s="1" t="s">
        <v>48</v>
      </c>
    </row>
    <row r="150" spans="1:9" x14ac:dyDescent="0.3">
      <c r="A150" t="s">
        <v>12</v>
      </c>
      <c r="B150" t="s">
        <v>19</v>
      </c>
      <c r="C150">
        <v>100676</v>
      </c>
      <c r="D150">
        <v>397247</v>
      </c>
      <c r="E150">
        <f t="shared" si="6"/>
        <v>296571</v>
      </c>
      <c r="F150" t="str">
        <f t="shared" si="7"/>
        <v>BREACH</v>
      </c>
      <c r="G150" s="3">
        <v>5.2999999999999999E-2</v>
      </c>
      <c r="H150">
        <f t="shared" si="8"/>
        <v>15718.262999999999</v>
      </c>
      <c r="I150" s="1" t="s">
        <v>48</v>
      </c>
    </row>
    <row r="151" spans="1:9" x14ac:dyDescent="0.3">
      <c r="A151" t="s">
        <v>12</v>
      </c>
      <c r="B151" t="s">
        <v>20</v>
      </c>
      <c r="C151">
        <v>228716</v>
      </c>
      <c r="D151">
        <v>261560</v>
      </c>
      <c r="E151">
        <f t="shared" si="6"/>
        <v>32844</v>
      </c>
      <c r="F151" t="str">
        <f t="shared" si="7"/>
        <v>BREACH</v>
      </c>
      <c r="G151" s="3">
        <v>5.6000000000000001E-2</v>
      </c>
      <c r="H151">
        <f t="shared" si="8"/>
        <v>1839.2640000000001</v>
      </c>
      <c r="I151" s="1" t="s">
        <v>48</v>
      </c>
    </row>
    <row r="152" spans="1:9" x14ac:dyDescent="0.3">
      <c r="A152" t="s">
        <v>12</v>
      </c>
      <c r="B152" t="s">
        <v>21</v>
      </c>
      <c r="C152">
        <v>395172</v>
      </c>
      <c r="D152">
        <v>346399</v>
      </c>
      <c r="E152">
        <f t="shared" si="6"/>
        <v>0</v>
      </c>
      <c r="F152" t="str">
        <f t="shared" si="7"/>
        <v>COMPLIANT</v>
      </c>
      <c r="G152" s="3">
        <v>7.1999999999999995E-2</v>
      </c>
      <c r="H152">
        <f t="shared" si="8"/>
        <v>0</v>
      </c>
      <c r="I152" s="1" t="s">
        <v>48</v>
      </c>
    </row>
    <row r="153" spans="1:9" x14ac:dyDescent="0.3">
      <c r="A153" t="s">
        <v>12</v>
      </c>
      <c r="B153" t="s">
        <v>22</v>
      </c>
      <c r="C153">
        <v>236675</v>
      </c>
      <c r="D153">
        <v>378615</v>
      </c>
      <c r="E153">
        <f t="shared" si="6"/>
        <v>141940</v>
      </c>
      <c r="F153" t="str">
        <f t="shared" si="7"/>
        <v>BREACH</v>
      </c>
      <c r="G153" s="3">
        <v>0.06</v>
      </c>
      <c r="H153">
        <f t="shared" si="8"/>
        <v>8516.4</v>
      </c>
      <c r="I153" s="1" t="s">
        <v>48</v>
      </c>
    </row>
    <row r="154" spans="1:9" x14ac:dyDescent="0.3">
      <c r="A154" t="s">
        <v>12</v>
      </c>
      <c r="B154" t="s">
        <v>23</v>
      </c>
      <c r="C154">
        <v>291405</v>
      </c>
      <c r="D154">
        <v>115912</v>
      </c>
      <c r="E154">
        <f t="shared" si="6"/>
        <v>0</v>
      </c>
      <c r="F154" t="str">
        <f t="shared" si="7"/>
        <v>COMPLIANT</v>
      </c>
      <c r="G154" s="3">
        <v>5.7000000000000002E-2</v>
      </c>
      <c r="H154">
        <f t="shared" si="8"/>
        <v>0</v>
      </c>
      <c r="I154" s="1" t="s">
        <v>48</v>
      </c>
    </row>
    <row r="155" spans="1:9" x14ac:dyDescent="0.3">
      <c r="A155" t="s">
        <v>12</v>
      </c>
      <c r="B155" t="s">
        <v>24</v>
      </c>
      <c r="C155">
        <v>315821</v>
      </c>
      <c r="D155">
        <v>437024</v>
      </c>
      <c r="E155">
        <f t="shared" si="6"/>
        <v>121203</v>
      </c>
      <c r="F155" t="str">
        <f t="shared" si="7"/>
        <v>BREACH</v>
      </c>
      <c r="G155" s="3">
        <v>7.1999999999999995E-2</v>
      </c>
      <c r="H155">
        <f t="shared" si="8"/>
        <v>8726.616</v>
      </c>
      <c r="I155" s="1" t="s">
        <v>48</v>
      </c>
    </row>
    <row r="156" spans="1:9" x14ac:dyDescent="0.3">
      <c r="A156" t="s">
        <v>12</v>
      </c>
      <c r="B156" t="s">
        <v>25</v>
      </c>
      <c r="C156">
        <v>247098</v>
      </c>
      <c r="D156">
        <v>268743</v>
      </c>
      <c r="E156">
        <f t="shared" si="6"/>
        <v>21645</v>
      </c>
      <c r="F156" t="str">
        <f t="shared" si="7"/>
        <v>BREACH</v>
      </c>
      <c r="G156" s="3">
        <v>5.6000000000000001E-2</v>
      </c>
      <c r="H156">
        <f t="shared" si="8"/>
        <v>1212.1200000000001</v>
      </c>
      <c r="I156" s="1" t="s">
        <v>48</v>
      </c>
    </row>
    <row r="157" spans="1:9" x14ac:dyDescent="0.3">
      <c r="A157" t="s">
        <v>12</v>
      </c>
      <c r="B157" t="s">
        <v>26</v>
      </c>
      <c r="C157">
        <v>307127</v>
      </c>
      <c r="D157">
        <v>142498</v>
      </c>
      <c r="E157">
        <f t="shared" si="6"/>
        <v>0</v>
      </c>
      <c r="F157" t="str">
        <f t="shared" si="7"/>
        <v>COMPLIANT</v>
      </c>
      <c r="G157" s="3">
        <v>5.8000000000000003E-2</v>
      </c>
      <c r="H157">
        <f t="shared" si="8"/>
        <v>0</v>
      </c>
      <c r="I157" s="1" t="s">
        <v>48</v>
      </c>
    </row>
    <row r="158" spans="1:9" x14ac:dyDescent="0.3">
      <c r="A158" t="s">
        <v>13</v>
      </c>
      <c r="B158" t="s">
        <v>15</v>
      </c>
      <c r="C158">
        <v>374217</v>
      </c>
      <c r="D158">
        <v>92046</v>
      </c>
      <c r="E158">
        <f t="shared" si="6"/>
        <v>0</v>
      </c>
      <c r="F158" t="str">
        <f t="shared" si="7"/>
        <v>COMPLIANT</v>
      </c>
      <c r="G158" s="3">
        <v>6.7000000000000004E-2</v>
      </c>
      <c r="H158">
        <f t="shared" si="8"/>
        <v>0</v>
      </c>
      <c r="I158" s="1" t="s">
        <v>48</v>
      </c>
    </row>
    <row r="159" spans="1:9" x14ac:dyDescent="0.3">
      <c r="A159" t="s">
        <v>13</v>
      </c>
      <c r="B159" t="s">
        <v>16</v>
      </c>
      <c r="C159">
        <v>380686</v>
      </c>
      <c r="D159">
        <v>305268</v>
      </c>
      <c r="E159">
        <f t="shared" si="6"/>
        <v>0</v>
      </c>
      <c r="F159" t="str">
        <f t="shared" si="7"/>
        <v>COMPLIANT</v>
      </c>
      <c r="G159" s="3">
        <v>7.1999999999999995E-2</v>
      </c>
      <c r="H159">
        <f t="shared" si="8"/>
        <v>0</v>
      </c>
      <c r="I159" s="1" t="s">
        <v>48</v>
      </c>
    </row>
    <row r="160" spans="1:9" x14ac:dyDescent="0.3">
      <c r="A160" t="s">
        <v>13</v>
      </c>
      <c r="B160" t="s">
        <v>17</v>
      </c>
      <c r="C160">
        <v>400867</v>
      </c>
      <c r="D160">
        <v>354104</v>
      </c>
      <c r="E160">
        <f t="shared" si="6"/>
        <v>0</v>
      </c>
      <c r="F160" t="str">
        <f t="shared" si="7"/>
        <v>COMPLIANT</v>
      </c>
      <c r="G160" s="3">
        <v>6.3E-2</v>
      </c>
      <c r="H160">
        <f t="shared" si="8"/>
        <v>0</v>
      </c>
      <c r="I160" s="1" t="s">
        <v>48</v>
      </c>
    </row>
    <row r="161" spans="1:9" x14ac:dyDescent="0.3">
      <c r="A161" t="s">
        <v>13</v>
      </c>
      <c r="B161" t="s">
        <v>18</v>
      </c>
      <c r="C161">
        <v>149088</v>
      </c>
      <c r="D161">
        <v>403892</v>
      </c>
      <c r="E161">
        <f t="shared" si="6"/>
        <v>254804</v>
      </c>
      <c r="F161" t="str">
        <f t="shared" si="7"/>
        <v>BREACH</v>
      </c>
      <c r="G161" s="3">
        <v>4.9000000000000002E-2</v>
      </c>
      <c r="H161">
        <f t="shared" si="8"/>
        <v>12485.396000000001</v>
      </c>
      <c r="I161" s="1" t="s">
        <v>48</v>
      </c>
    </row>
    <row r="162" spans="1:9" x14ac:dyDescent="0.3">
      <c r="A162" t="s">
        <v>13</v>
      </c>
      <c r="B162" t="s">
        <v>19</v>
      </c>
      <c r="C162">
        <v>428474</v>
      </c>
      <c r="D162">
        <v>391037</v>
      </c>
      <c r="E162">
        <f t="shared" si="6"/>
        <v>0</v>
      </c>
      <c r="F162" t="str">
        <f t="shared" si="7"/>
        <v>COMPLIANT</v>
      </c>
      <c r="G162" s="3">
        <v>5.5E-2</v>
      </c>
      <c r="H162">
        <f t="shared" si="8"/>
        <v>0</v>
      </c>
      <c r="I162" s="1" t="s">
        <v>48</v>
      </c>
    </row>
    <row r="163" spans="1:9" x14ac:dyDescent="0.3">
      <c r="A163" t="s">
        <v>13</v>
      </c>
      <c r="B163" t="s">
        <v>20</v>
      </c>
      <c r="C163">
        <v>200587</v>
      </c>
      <c r="D163">
        <v>315801</v>
      </c>
      <c r="E163">
        <f t="shared" si="6"/>
        <v>115214</v>
      </c>
      <c r="F163" t="str">
        <f t="shared" si="7"/>
        <v>BREACH</v>
      </c>
      <c r="G163" s="3">
        <v>5.1999999999999998E-2</v>
      </c>
      <c r="H163">
        <f t="shared" si="8"/>
        <v>5991.1279999999997</v>
      </c>
      <c r="I163" s="1" t="s">
        <v>48</v>
      </c>
    </row>
    <row r="164" spans="1:9" x14ac:dyDescent="0.3">
      <c r="A164" t="s">
        <v>13</v>
      </c>
      <c r="B164" t="s">
        <v>21</v>
      </c>
      <c r="C164">
        <v>219746</v>
      </c>
      <c r="D164">
        <v>390374</v>
      </c>
      <c r="E164">
        <f t="shared" si="6"/>
        <v>170628</v>
      </c>
      <c r="F164" t="str">
        <f t="shared" si="7"/>
        <v>BREACH</v>
      </c>
      <c r="G164" s="3">
        <v>7.4999999999999997E-2</v>
      </c>
      <c r="H164">
        <f t="shared" si="8"/>
        <v>12797.1</v>
      </c>
      <c r="I164" s="1" t="s">
        <v>48</v>
      </c>
    </row>
    <row r="165" spans="1:9" x14ac:dyDescent="0.3">
      <c r="A165" t="s">
        <v>13</v>
      </c>
      <c r="B165" t="s">
        <v>22</v>
      </c>
      <c r="C165">
        <v>446638</v>
      </c>
      <c r="D165">
        <v>231823</v>
      </c>
      <c r="E165">
        <f t="shared" si="6"/>
        <v>0</v>
      </c>
      <c r="F165" t="str">
        <f t="shared" si="7"/>
        <v>COMPLIANT</v>
      </c>
      <c r="G165" s="3">
        <v>4.4999999999999998E-2</v>
      </c>
      <c r="H165">
        <f t="shared" si="8"/>
        <v>0</v>
      </c>
      <c r="I165" s="1" t="s">
        <v>48</v>
      </c>
    </row>
    <row r="166" spans="1:9" x14ac:dyDescent="0.3">
      <c r="A166" t="s">
        <v>13</v>
      </c>
      <c r="B166" t="s">
        <v>23</v>
      </c>
      <c r="C166">
        <v>182828</v>
      </c>
      <c r="D166">
        <v>442084</v>
      </c>
      <c r="E166">
        <f t="shared" si="6"/>
        <v>259256</v>
      </c>
      <c r="F166" t="str">
        <f t="shared" si="7"/>
        <v>BREACH</v>
      </c>
      <c r="G166" s="3">
        <v>0.06</v>
      </c>
      <c r="H166">
        <f t="shared" si="8"/>
        <v>15555.359999999999</v>
      </c>
      <c r="I166" s="1" t="s">
        <v>48</v>
      </c>
    </row>
    <row r="167" spans="1:9" x14ac:dyDescent="0.3">
      <c r="A167" t="s">
        <v>13</v>
      </c>
      <c r="B167" t="s">
        <v>24</v>
      </c>
      <c r="C167">
        <v>294780</v>
      </c>
      <c r="D167">
        <v>296099</v>
      </c>
      <c r="E167">
        <f t="shared" si="6"/>
        <v>1319</v>
      </c>
      <c r="F167" t="str">
        <f t="shared" si="7"/>
        <v>BREACH</v>
      </c>
      <c r="G167" s="3">
        <v>4.9000000000000002E-2</v>
      </c>
      <c r="H167">
        <f t="shared" si="8"/>
        <v>64.631</v>
      </c>
      <c r="I167" s="1" t="s">
        <v>48</v>
      </c>
    </row>
    <row r="168" spans="1:9" x14ac:dyDescent="0.3">
      <c r="A168" t="s">
        <v>13</v>
      </c>
      <c r="B168" t="s">
        <v>25</v>
      </c>
      <c r="C168">
        <v>445567</v>
      </c>
      <c r="D168">
        <v>272433</v>
      </c>
      <c r="E168">
        <f t="shared" si="6"/>
        <v>0</v>
      </c>
      <c r="F168" t="str">
        <f t="shared" si="7"/>
        <v>COMPLIANT</v>
      </c>
      <c r="G168" s="3">
        <v>6.0999999999999999E-2</v>
      </c>
      <c r="H168">
        <f t="shared" si="8"/>
        <v>0</v>
      </c>
      <c r="I168" s="1" t="s">
        <v>48</v>
      </c>
    </row>
    <row r="169" spans="1:9" x14ac:dyDescent="0.3">
      <c r="A169" t="s">
        <v>13</v>
      </c>
      <c r="B169" t="s">
        <v>26</v>
      </c>
      <c r="C169">
        <v>347731</v>
      </c>
      <c r="D169">
        <v>440999</v>
      </c>
      <c r="E169">
        <f t="shared" si="6"/>
        <v>93268</v>
      </c>
      <c r="F169" t="str">
        <f t="shared" si="7"/>
        <v>BREACH</v>
      </c>
      <c r="G169" s="3">
        <v>5.8999999999999997E-2</v>
      </c>
      <c r="H169">
        <f t="shared" si="8"/>
        <v>5502.8119999999999</v>
      </c>
      <c r="I169" s="1" t="s">
        <v>48</v>
      </c>
    </row>
    <row r="170" spans="1:9" x14ac:dyDescent="0.3">
      <c r="A170" t="s">
        <v>14</v>
      </c>
      <c r="B170" t="s">
        <v>15</v>
      </c>
      <c r="C170">
        <v>218460</v>
      </c>
      <c r="D170">
        <v>119100</v>
      </c>
      <c r="E170">
        <f t="shared" si="6"/>
        <v>0</v>
      </c>
      <c r="F170" t="str">
        <f t="shared" si="7"/>
        <v>COMPLIANT</v>
      </c>
      <c r="G170" s="3">
        <v>5.8999999999999997E-2</v>
      </c>
      <c r="H170">
        <f t="shared" si="8"/>
        <v>0</v>
      </c>
      <c r="I170" s="1" t="s">
        <v>48</v>
      </c>
    </row>
    <row r="171" spans="1:9" x14ac:dyDescent="0.3">
      <c r="A171" t="s">
        <v>14</v>
      </c>
      <c r="B171" t="s">
        <v>16</v>
      </c>
      <c r="C171">
        <v>438266</v>
      </c>
      <c r="D171">
        <v>160118</v>
      </c>
      <c r="E171">
        <f t="shared" si="6"/>
        <v>0</v>
      </c>
      <c r="F171" t="str">
        <f t="shared" si="7"/>
        <v>COMPLIANT</v>
      </c>
      <c r="G171" s="3">
        <v>6.9000000000000006E-2</v>
      </c>
      <c r="H171">
        <f t="shared" si="8"/>
        <v>0</v>
      </c>
      <c r="I171" s="1" t="s">
        <v>48</v>
      </c>
    </row>
    <row r="172" spans="1:9" x14ac:dyDescent="0.3">
      <c r="A172" t="s">
        <v>14</v>
      </c>
      <c r="B172" t="s">
        <v>17</v>
      </c>
      <c r="C172">
        <v>242035</v>
      </c>
      <c r="D172">
        <v>211696</v>
      </c>
      <c r="E172">
        <f t="shared" si="6"/>
        <v>0</v>
      </c>
      <c r="F172" t="str">
        <f t="shared" si="7"/>
        <v>COMPLIANT</v>
      </c>
      <c r="G172" s="3">
        <v>4.5999999999999999E-2</v>
      </c>
      <c r="H172">
        <f t="shared" si="8"/>
        <v>0</v>
      </c>
      <c r="I172" s="1" t="s">
        <v>48</v>
      </c>
    </row>
    <row r="173" spans="1:9" x14ac:dyDescent="0.3">
      <c r="A173" t="s">
        <v>14</v>
      </c>
      <c r="B173" t="s">
        <v>18</v>
      </c>
      <c r="C173">
        <v>307314</v>
      </c>
      <c r="D173">
        <v>141067</v>
      </c>
      <c r="E173">
        <f t="shared" si="6"/>
        <v>0</v>
      </c>
      <c r="F173" t="str">
        <f t="shared" si="7"/>
        <v>COMPLIANT</v>
      </c>
      <c r="G173" s="3">
        <v>5.2999999999999999E-2</v>
      </c>
      <c r="H173">
        <f t="shared" si="8"/>
        <v>0</v>
      </c>
      <c r="I173" s="1" t="s">
        <v>48</v>
      </c>
    </row>
    <row r="174" spans="1:9" x14ac:dyDescent="0.3">
      <c r="A174" t="s">
        <v>14</v>
      </c>
      <c r="B174" t="s">
        <v>19</v>
      </c>
      <c r="C174">
        <v>358031</v>
      </c>
      <c r="D174">
        <v>191031</v>
      </c>
      <c r="E174">
        <f t="shared" si="6"/>
        <v>0</v>
      </c>
      <c r="F174" t="str">
        <f t="shared" si="7"/>
        <v>COMPLIANT</v>
      </c>
      <c r="G174" s="3">
        <v>5.5E-2</v>
      </c>
      <c r="H174">
        <f t="shared" si="8"/>
        <v>0</v>
      </c>
      <c r="I174" s="1" t="s">
        <v>48</v>
      </c>
    </row>
    <row r="175" spans="1:9" x14ac:dyDescent="0.3">
      <c r="A175" t="s">
        <v>14</v>
      </c>
      <c r="B175" t="s">
        <v>20</v>
      </c>
      <c r="C175">
        <v>248449</v>
      </c>
      <c r="D175">
        <v>327793</v>
      </c>
      <c r="E175">
        <f t="shared" si="6"/>
        <v>79344</v>
      </c>
      <c r="F175" t="str">
        <f t="shared" si="7"/>
        <v>BREACH</v>
      </c>
      <c r="G175" s="3">
        <v>5.5E-2</v>
      </c>
      <c r="H175">
        <f t="shared" si="8"/>
        <v>4363.92</v>
      </c>
      <c r="I175" s="1" t="s">
        <v>48</v>
      </c>
    </row>
    <row r="176" spans="1:9" x14ac:dyDescent="0.3">
      <c r="A176" t="s">
        <v>14</v>
      </c>
      <c r="B176" t="s">
        <v>21</v>
      </c>
      <c r="C176">
        <v>389842</v>
      </c>
      <c r="D176">
        <v>367518</v>
      </c>
      <c r="E176">
        <f t="shared" si="6"/>
        <v>0</v>
      </c>
      <c r="F176" t="str">
        <f t="shared" si="7"/>
        <v>COMPLIANT</v>
      </c>
      <c r="G176" s="3">
        <v>6.2E-2</v>
      </c>
      <c r="H176">
        <f t="shared" si="8"/>
        <v>0</v>
      </c>
      <c r="I176" s="1" t="s">
        <v>48</v>
      </c>
    </row>
    <row r="177" spans="1:9" x14ac:dyDescent="0.3">
      <c r="A177" t="s">
        <v>14</v>
      </c>
      <c r="B177" t="s">
        <v>22</v>
      </c>
      <c r="C177">
        <v>371124</v>
      </c>
      <c r="D177">
        <v>228175</v>
      </c>
      <c r="E177">
        <f t="shared" si="6"/>
        <v>0</v>
      </c>
      <c r="F177" t="str">
        <f t="shared" si="7"/>
        <v>COMPLIANT</v>
      </c>
      <c r="G177" s="3">
        <v>4.8000000000000001E-2</v>
      </c>
      <c r="H177">
        <f t="shared" si="8"/>
        <v>0</v>
      </c>
      <c r="I177" s="1" t="s">
        <v>48</v>
      </c>
    </row>
    <row r="178" spans="1:9" x14ac:dyDescent="0.3">
      <c r="A178" t="s">
        <v>14</v>
      </c>
      <c r="B178" t="s">
        <v>23</v>
      </c>
      <c r="C178">
        <v>321550</v>
      </c>
      <c r="D178">
        <v>329154</v>
      </c>
      <c r="E178">
        <f t="shared" si="6"/>
        <v>7604</v>
      </c>
      <c r="F178" t="str">
        <f t="shared" si="7"/>
        <v>BREACH</v>
      </c>
      <c r="G178" s="3">
        <v>6.7000000000000004E-2</v>
      </c>
      <c r="H178">
        <f t="shared" si="8"/>
        <v>509.46800000000002</v>
      </c>
      <c r="I178" s="1" t="s">
        <v>48</v>
      </c>
    </row>
    <row r="179" spans="1:9" x14ac:dyDescent="0.3">
      <c r="A179" t="s">
        <v>14</v>
      </c>
      <c r="B179" t="s">
        <v>24</v>
      </c>
      <c r="C179">
        <v>356771</v>
      </c>
      <c r="D179">
        <v>173572</v>
      </c>
      <c r="E179">
        <f t="shared" si="6"/>
        <v>0</v>
      </c>
      <c r="F179" t="str">
        <f t="shared" si="7"/>
        <v>COMPLIANT</v>
      </c>
      <c r="G179" s="3">
        <v>5.2999999999999999E-2</v>
      </c>
      <c r="H179">
        <f t="shared" si="8"/>
        <v>0</v>
      </c>
      <c r="I179" s="1" t="s">
        <v>48</v>
      </c>
    </row>
    <row r="180" spans="1:9" x14ac:dyDescent="0.3">
      <c r="A180" t="s">
        <v>14</v>
      </c>
      <c r="B180" t="s">
        <v>25</v>
      </c>
      <c r="C180">
        <v>184296</v>
      </c>
      <c r="D180">
        <v>297040</v>
      </c>
      <c r="E180">
        <f t="shared" si="6"/>
        <v>112744</v>
      </c>
      <c r="F180" t="str">
        <f t="shared" si="7"/>
        <v>BREACH</v>
      </c>
      <c r="G180" s="3">
        <v>5.5E-2</v>
      </c>
      <c r="H180">
        <f t="shared" si="8"/>
        <v>6200.92</v>
      </c>
      <c r="I180" s="1" t="s">
        <v>48</v>
      </c>
    </row>
    <row r="181" spans="1:9" x14ac:dyDescent="0.3">
      <c r="A181" t="s">
        <v>14</v>
      </c>
      <c r="B181" t="s">
        <v>26</v>
      </c>
      <c r="C181">
        <v>417509</v>
      </c>
      <c r="D181">
        <v>349821</v>
      </c>
      <c r="E181">
        <f t="shared" si="6"/>
        <v>0</v>
      </c>
      <c r="F181" t="str">
        <f t="shared" si="7"/>
        <v>COMPLIANT</v>
      </c>
      <c r="G181" s="3">
        <v>7.0000000000000007E-2</v>
      </c>
      <c r="H181">
        <f t="shared" si="8"/>
        <v>0</v>
      </c>
      <c r="I181" s="1" t="s">
        <v>48</v>
      </c>
    </row>
    <row r="182" spans="1:9" x14ac:dyDescent="0.3">
      <c r="D182" s="4"/>
    </row>
    <row r="183" spans="1:9" x14ac:dyDescent="0.3">
      <c r="D183" s="4"/>
    </row>
    <row r="184" spans="1:9" x14ac:dyDescent="0.3">
      <c r="D184" s="4"/>
    </row>
    <row r="185" spans="1:9" x14ac:dyDescent="0.3">
      <c r="D185" s="4"/>
    </row>
    <row r="186" spans="1:9" x14ac:dyDescent="0.3">
      <c r="D186" s="4"/>
    </row>
    <row r="187" spans="1:9" x14ac:dyDescent="0.3">
      <c r="D187" s="4"/>
    </row>
    <row r="188" spans="1:9" x14ac:dyDescent="0.3">
      <c r="D188" s="4"/>
    </row>
    <row r="189" spans="1:9" x14ac:dyDescent="0.3">
      <c r="D189" s="4"/>
    </row>
    <row r="190" spans="1:9" x14ac:dyDescent="0.3">
      <c r="D190" s="4"/>
    </row>
    <row r="191" spans="1:9" x14ac:dyDescent="0.3">
      <c r="D191" s="4"/>
    </row>
    <row r="192" spans="1:9" x14ac:dyDescent="0.3">
      <c r="D192" s="4"/>
    </row>
    <row r="193" spans="4:4" x14ac:dyDescent="0.3">
      <c r="D193" s="4"/>
    </row>
    <row r="194" spans="4:4" x14ac:dyDescent="0.3">
      <c r="D194" s="4"/>
    </row>
    <row r="195" spans="4:4" x14ac:dyDescent="0.3">
      <c r="D195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5231-BD7B-4323-B585-3E2EB747044B}">
  <dimension ref="A3:E44"/>
  <sheetViews>
    <sheetView tabSelected="1" topLeftCell="A6" workbookViewId="0">
      <selection activeCell="O8" sqref="O8"/>
    </sheetView>
  </sheetViews>
  <sheetFormatPr defaultRowHeight="14.4" x14ac:dyDescent="0.3"/>
  <cols>
    <col min="1" max="1" width="15.109375" bestFit="1" customWidth="1"/>
    <col min="2" max="2" width="12.44140625" bestFit="1" customWidth="1"/>
    <col min="3" max="3" width="20.21875" bestFit="1" customWidth="1"/>
    <col min="4" max="4" width="12.21875" bestFit="1" customWidth="1"/>
    <col min="5" max="5" width="22.77734375" bestFit="1" customWidth="1"/>
    <col min="6" max="6" width="13.33203125" bestFit="1" customWidth="1"/>
    <col min="7" max="7" width="3.33203125" bestFit="1" customWidth="1"/>
    <col min="8" max="8" width="3.44140625" bestFit="1" customWidth="1"/>
    <col min="9" max="9" width="3" bestFit="1" customWidth="1"/>
    <col min="10" max="10" width="12.21875" bestFit="1" customWidth="1"/>
    <col min="11" max="11" width="3.33203125" bestFit="1" customWidth="1"/>
    <col min="12" max="12" width="3.44140625" bestFit="1" customWidth="1"/>
    <col min="13" max="13" width="3" bestFit="1" customWidth="1"/>
    <col min="14" max="14" width="22.77734375" bestFit="1" customWidth="1"/>
    <col min="15" max="17" width="12" bestFit="1" customWidth="1"/>
    <col min="18" max="18" width="24.77734375" bestFit="1" customWidth="1"/>
    <col min="19" max="20" width="16.77734375" bestFit="1" customWidth="1"/>
    <col min="21" max="21" width="27.33203125" bestFit="1" customWidth="1"/>
  </cols>
  <sheetData>
    <row r="3" spans="1:5" x14ac:dyDescent="0.3">
      <c r="A3" s="5" t="s">
        <v>38</v>
      </c>
      <c r="B3" t="s">
        <v>40</v>
      </c>
      <c r="C3" t="s">
        <v>41</v>
      </c>
      <c r="D3" t="s">
        <v>42</v>
      </c>
      <c r="E3" t="s">
        <v>43</v>
      </c>
    </row>
    <row r="4" spans="1:5" x14ac:dyDescent="0.3">
      <c r="A4" s="6" t="s">
        <v>8</v>
      </c>
      <c r="B4" s="7">
        <v>104935.92899999999</v>
      </c>
      <c r="C4" s="7">
        <v>12</v>
      </c>
      <c r="D4" s="7">
        <v>12</v>
      </c>
      <c r="E4" s="7">
        <v>127817.5</v>
      </c>
    </row>
    <row r="5" spans="1:5" x14ac:dyDescent="0.3">
      <c r="A5" s="6" t="s">
        <v>3</v>
      </c>
      <c r="B5" s="7">
        <v>71342.987999999998</v>
      </c>
      <c r="C5" s="7">
        <v>12</v>
      </c>
      <c r="D5" s="7">
        <v>12</v>
      </c>
      <c r="E5" s="7">
        <v>99038.333333333328</v>
      </c>
    </row>
    <row r="6" spans="1:5" x14ac:dyDescent="0.3">
      <c r="A6" s="6" t="s">
        <v>5</v>
      </c>
      <c r="B6" s="7">
        <v>55879.456000000013</v>
      </c>
      <c r="C6" s="7">
        <v>12</v>
      </c>
      <c r="D6" s="7">
        <v>12</v>
      </c>
      <c r="E6" s="7">
        <v>72376.833333333328</v>
      </c>
    </row>
    <row r="7" spans="1:5" x14ac:dyDescent="0.3">
      <c r="A7" s="6" t="s">
        <v>13</v>
      </c>
      <c r="B7" s="7">
        <v>52396.427000000003</v>
      </c>
      <c r="C7" s="7">
        <v>12</v>
      </c>
      <c r="D7" s="7">
        <v>12</v>
      </c>
      <c r="E7" s="7">
        <v>74540.75</v>
      </c>
    </row>
    <row r="8" spans="1:5" x14ac:dyDescent="0.3">
      <c r="A8" s="6" t="s">
        <v>1</v>
      </c>
      <c r="B8" s="7">
        <v>49329.446999999993</v>
      </c>
      <c r="C8" s="7">
        <v>12</v>
      </c>
      <c r="D8" s="7">
        <v>12</v>
      </c>
      <c r="E8" s="7">
        <v>67308.75</v>
      </c>
    </row>
    <row r="9" spans="1:5" x14ac:dyDescent="0.3">
      <c r="A9" s="6" t="s">
        <v>7</v>
      </c>
      <c r="B9" s="7">
        <v>49140.187000000005</v>
      </c>
      <c r="C9" s="7">
        <v>12</v>
      </c>
      <c r="D9" s="7">
        <v>12</v>
      </c>
      <c r="E9" s="7">
        <v>61910.333333333336</v>
      </c>
    </row>
    <row r="10" spans="1:5" x14ac:dyDescent="0.3">
      <c r="A10" s="6" t="s">
        <v>11</v>
      </c>
      <c r="B10" s="7">
        <v>48728.59</v>
      </c>
      <c r="C10" s="7">
        <v>12</v>
      </c>
      <c r="D10" s="7">
        <v>12</v>
      </c>
      <c r="E10" s="7">
        <v>64074.833333333336</v>
      </c>
    </row>
    <row r="11" spans="1:5" x14ac:dyDescent="0.3">
      <c r="A11" s="6" t="s">
        <v>6</v>
      </c>
      <c r="B11" s="7">
        <v>47366.544999999998</v>
      </c>
      <c r="C11" s="7">
        <v>12</v>
      </c>
      <c r="D11" s="7">
        <v>12</v>
      </c>
      <c r="E11" s="7">
        <v>70848.666666666672</v>
      </c>
    </row>
    <row r="12" spans="1:5" x14ac:dyDescent="0.3">
      <c r="A12" s="6" t="s">
        <v>12</v>
      </c>
      <c r="B12" s="7">
        <v>44788.895000000004</v>
      </c>
      <c r="C12" s="7">
        <v>12</v>
      </c>
      <c r="D12" s="7">
        <v>12</v>
      </c>
      <c r="E12" s="7">
        <v>64847</v>
      </c>
    </row>
    <row r="13" spans="1:5" x14ac:dyDescent="0.3">
      <c r="A13" s="6" t="s">
        <v>0</v>
      </c>
      <c r="B13" s="7">
        <v>43898.379000000001</v>
      </c>
      <c r="C13" s="7">
        <v>12</v>
      </c>
      <c r="D13" s="7">
        <v>12</v>
      </c>
      <c r="E13" s="7">
        <v>61786.25</v>
      </c>
    </row>
    <row r="14" spans="1:5" x14ac:dyDescent="0.3">
      <c r="A14" s="6" t="s">
        <v>10</v>
      </c>
      <c r="B14" s="7">
        <v>39340.723000000005</v>
      </c>
      <c r="C14" s="7">
        <v>12</v>
      </c>
      <c r="D14" s="7">
        <v>12</v>
      </c>
      <c r="E14" s="7">
        <v>56548.583333333336</v>
      </c>
    </row>
    <row r="15" spans="1:5" x14ac:dyDescent="0.3">
      <c r="A15" s="6" t="s">
        <v>9</v>
      </c>
      <c r="B15" s="7">
        <v>35018.311000000002</v>
      </c>
      <c r="C15" s="7">
        <v>12</v>
      </c>
      <c r="D15" s="7">
        <v>12</v>
      </c>
      <c r="E15" s="7">
        <v>48798</v>
      </c>
    </row>
    <row r="16" spans="1:5" x14ac:dyDescent="0.3">
      <c r="A16" s="6" t="s">
        <v>4</v>
      </c>
      <c r="B16" s="7">
        <v>29044.284</v>
      </c>
      <c r="C16" s="7">
        <v>12</v>
      </c>
      <c r="D16" s="7">
        <v>12</v>
      </c>
      <c r="E16" s="7">
        <v>40147.916666666664</v>
      </c>
    </row>
    <row r="17" spans="1:5" x14ac:dyDescent="0.3">
      <c r="A17" s="6" t="s">
        <v>2</v>
      </c>
      <c r="B17" s="7">
        <v>15163.434999999999</v>
      </c>
      <c r="C17" s="7">
        <v>12</v>
      </c>
      <c r="D17" s="7">
        <v>12</v>
      </c>
      <c r="E17" s="7">
        <v>23217.083333333332</v>
      </c>
    </row>
    <row r="18" spans="1:5" x14ac:dyDescent="0.3">
      <c r="A18" s="6" t="s">
        <v>14</v>
      </c>
      <c r="B18" s="7">
        <v>11074.308000000001</v>
      </c>
      <c r="C18" s="7">
        <v>12</v>
      </c>
      <c r="D18" s="7">
        <v>12</v>
      </c>
      <c r="E18" s="7">
        <v>16641</v>
      </c>
    </row>
    <row r="19" spans="1:5" x14ac:dyDescent="0.3">
      <c r="A19" s="6" t="s">
        <v>39</v>
      </c>
      <c r="B19" s="7">
        <v>697447.90399999975</v>
      </c>
      <c r="C19" s="7">
        <v>180</v>
      </c>
      <c r="D19" s="7">
        <v>180</v>
      </c>
      <c r="E19" s="7">
        <v>63326.788888888892</v>
      </c>
    </row>
    <row r="22" spans="1:5" x14ac:dyDescent="0.3">
      <c r="A22" s="8" t="s">
        <v>38</v>
      </c>
      <c r="B22" s="8" t="s">
        <v>40</v>
      </c>
      <c r="D22" s="8" t="s">
        <v>38</v>
      </c>
      <c r="E22" s="8" t="s">
        <v>42</v>
      </c>
    </row>
    <row r="23" spans="1:5" x14ac:dyDescent="0.3">
      <c r="A23" s="6" t="s">
        <v>8</v>
      </c>
      <c r="B23" s="7">
        <v>104935.92899999999</v>
      </c>
      <c r="D23" s="6" t="s">
        <v>8</v>
      </c>
      <c r="E23" s="7">
        <v>12</v>
      </c>
    </row>
    <row r="24" spans="1:5" x14ac:dyDescent="0.3">
      <c r="A24" s="6" t="s">
        <v>3</v>
      </c>
      <c r="B24" s="7">
        <v>71342.987999999998</v>
      </c>
      <c r="D24" s="6" t="s">
        <v>3</v>
      </c>
      <c r="E24" s="7">
        <v>12</v>
      </c>
    </row>
    <row r="25" spans="1:5" x14ac:dyDescent="0.3">
      <c r="A25" s="6" t="s">
        <v>5</v>
      </c>
      <c r="B25" s="7">
        <v>55879.456000000013</v>
      </c>
      <c r="D25" s="6" t="s">
        <v>5</v>
      </c>
      <c r="E25" s="7">
        <v>12</v>
      </c>
    </row>
    <row r="26" spans="1:5" x14ac:dyDescent="0.3">
      <c r="A26" s="6" t="s">
        <v>13</v>
      </c>
      <c r="B26" s="7">
        <v>52396.427000000003</v>
      </c>
      <c r="D26" s="6" t="s">
        <v>13</v>
      </c>
      <c r="E26" s="7">
        <v>12</v>
      </c>
    </row>
    <row r="27" spans="1:5" x14ac:dyDescent="0.3">
      <c r="A27" s="6" t="s">
        <v>1</v>
      </c>
      <c r="B27" s="7">
        <v>49329.446999999993</v>
      </c>
      <c r="D27" s="6" t="s">
        <v>1</v>
      </c>
      <c r="E27" s="7">
        <v>12</v>
      </c>
    </row>
    <row r="28" spans="1:5" x14ac:dyDescent="0.3">
      <c r="A28" s="6" t="s">
        <v>7</v>
      </c>
      <c r="B28" s="7">
        <v>49140.187000000005</v>
      </c>
      <c r="D28" s="6" t="s">
        <v>7</v>
      </c>
      <c r="E28" s="7">
        <v>12</v>
      </c>
    </row>
    <row r="29" spans="1:5" x14ac:dyDescent="0.3">
      <c r="A29" s="6" t="s">
        <v>11</v>
      </c>
      <c r="B29" s="7">
        <v>48728.59</v>
      </c>
      <c r="D29" s="6" t="s">
        <v>11</v>
      </c>
      <c r="E29" s="7">
        <v>12</v>
      </c>
    </row>
    <row r="30" spans="1:5" x14ac:dyDescent="0.3">
      <c r="A30" s="6" t="s">
        <v>6</v>
      </c>
      <c r="B30" s="7">
        <v>47366.544999999998</v>
      </c>
      <c r="D30" s="6" t="s">
        <v>6</v>
      </c>
      <c r="E30" s="7">
        <v>12</v>
      </c>
    </row>
    <row r="31" spans="1:5" x14ac:dyDescent="0.3">
      <c r="A31" s="6" t="s">
        <v>12</v>
      </c>
      <c r="B31" s="7">
        <v>44788.895000000004</v>
      </c>
      <c r="D31" s="6" t="s">
        <v>12</v>
      </c>
      <c r="E31" s="7">
        <v>12</v>
      </c>
    </row>
    <row r="32" spans="1:5" x14ac:dyDescent="0.3">
      <c r="A32" s="6" t="s">
        <v>0</v>
      </c>
      <c r="B32" s="7">
        <v>43898.379000000001</v>
      </c>
      <c r="D32" s="6" t="s">
        <v>0</v>
      </c>
      <c r="E32" s="7">
        <v>12</v>
      </c>
    </row>
    <row r="33" spans="1:5" x14ac:dyDescent="0.3">
      <c r="A33" s="6" t="s">
        <v>10</v>
      </c>
      <c r="B33" s="7">
        <v>39340.723000000005</v>
      </c>
      <c r="D33" s="6" t="s">
        <v>10</v>
      </c>
      <c r="E33" s="7">
        <v>12</v>
      </c>
    </row>
    <row r="34" spans="1:5" x14ac:dyDescent="0.3">
      <c r="A34" s="6" t="s">
        <v>9</v>
      </c>
      <c r="B34" s="7">
        <v>35018.311000000002</v>
      </c>
      <c r="D34" s="6" t="s">
        <v>9</v>
      </c>
      <c r="E34" s="7">
        <v>12</v>
      </c>
    </row>
    <row r="35" spans="1:5" x14ac:dyDescent="0.3">
      <c r="A35" s="6" t="s">
        <v>4</v>
      </c>
      <c r="B35" s="7">
        <v>29044.284</v>
      </c>
      <c r="D35" s="6" t="s">
        <v>4</v>
      </c>
      <c r="E35" s="7">
        <v>12</v>
      </c>
    </row>
    <row r="36" spans="1:5" x14ac:dyDescent="0.3">
      <c r="A36" s="6" t="s">
        <v>2</v>
      </c>
      <c r="B36" s="7">
        <v>15163.434999999999</v>
      </c>
      <c r="D36" s="6" t="s">
        <v>2</v>
      </c>
      <c r="E36" s="7">
        <v>12</v>
      </c>
    </row>
    <row r="37" spans="1:5" x14ac:dyDescent="0.3">
      <c r="A37" s="6" t="s">
        <v>14</v>
      </c>
      <c r="B37" s="7">
        <v>11074.308000000001</v>
      </c>
      <c r="D37" s="6" t="s">
        <v>14</v>
      </c>
      <c r="E37" s="7">
        <v>12</v>
      </c>
    </row>
    <row r="39" spans="1:5" x14ac:dyDescent="0.3">
      <c r="B39" s="5" t="s">
        <v>38</v>
      </c>
      <c r="C39" t="s">
        <v>40</v>
      </c>
    </row>
    <row r="40" spans="1:5" x14ac:dyDescent="0.3">
      <c r="B40" s="6" t="s">
        <v>47</v>
      </c>
      <c r="C40" s="7">
        <v>127675.72400000002</v>
      </c>
    </row>
    <row r="41" spans="1:5" x14ac:dyDescent="0.3">
      <c r="B41" s="6" t="s">
        <v>45</v>
      </c>
      <c r="C41" s="7">
        <v>208778.53300000002</v>
      </c>
    </row>
    <row r="42" spans="1:5" x14ac:dyDescent="0.3">
      <c r="B42" s="6" t="s">
        <v>48</v>
      </c>
      <c r="C42" s="7">
        <v>103671.52999999998</v>
      </c>
    </row>
    <row r="43" spans="1:5" x14ac:dyDescent="0.3">
      <c r="B43" s="6" t="s">
        <v>46</v>
      </c>
      <c r="C43" s="7">
        <v>257322.11700000003</v>
      </c>
    </row>
    <row r="44" spans="1:5" x14ac:dyDescent="0.3">
      <c r="B44" s="6" t="s">
        <v>39</v>
      </c>
      <c r="C44" s="7">
        <v>697447.9040000001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period</vt:lpstr>
      <vt:lpstr>Actual_Production</vt:lpstr>
      <vt:lpstr>Guarantee_contract</vt:lpstr>
      <vt:lpstr>Guarantee_Evaluation</vt:lpstr>
      <vt:lpstr>Portfolio_Summary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Ravi</dc:creator>
  <cp:lastModifiedBy>aravind Ravi</cp:lastModifiedBy>
  <dcterms:created xsi:type="dcterms:W3CDTF">2026-02-09T04:07:01Z</dcterms:created>
  <dcterms:modified xsi:type="dcterms:W3CDTF">2026-02-09T21:34:17Z</dcterms:modified>
</cp:coreProperties>
</file>